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Thor\"/>
    </mc:Choice>
  </mc:AlternateContent>
  <xr:revisionPtr revIDLastSave="0" documentId="13_ncr:1_{E6C1179D-CAF9-4DC1-B551-037A5CF888DA}" xr6:coauthVersionLast="47" xr6:coauthVersionMax="47" xr10:uidLastSave="{00000000-0000-0000-0000-000000000000}"/>
  <bookViews>
    <workbookView xWindow="-28920" yWindow="-105" windowWidth="29040" windowHeight="15720" xr2:uid="{BCFCB08C-94E0-4947-AA4E-BEF6C0770B8D}"/>
  </bookViews>
  <sheets>
    <sheet name="LiveData" sheetId="2" r:id="rId1"/>
    <sheet name="helper fields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2" i="2" l="1"/>
  <c r="D23" i="2"/>
  <c r="I23" i="2" s="1"/>
  <c r="C18" i="2"/>
  <c r="D18" i="2"/>
  <c r="E18" i="2"/>
  <c r="J22" i="2" s="1"/>
  <c r="F18" i="2"/>
  <c r="E23" i="2" s="1"/>
  <c r="G18" i="2"/>
  <c r="H18" i="2"/>
  <c r="I18" i="2"/>
  <c r="J18" i="2"/>
  <c r="K18" i="2"/>
  <c r="L18" i="2"/>
  <c r="M18" i="2"/>
  <c r="N18" i="2"/>
  <c r="D2" i="2"/>
  <c r="D11" i="2"/>
  <c r="N11" i="2"/>
  <c r="M11" i="2"/>
  <c r="L11" i="2"/>
  <c r="K11" i="2"/>
  <c r="J11" i="2"/>
  <c r="I11" i="2"/>
  <c r="H11" i="2"/>
  <c r="G11" i="2"/>
  <c r="F11" i="2"/>
  <c r="E11" i="2"/>
  <c r="N8" i="2"/>
  <c r="M8" i="2"/>
  <c r="L8" i="2"/>
  <c r="K8" i="2"/>
  <c r="J8" i="2"/>
  <c r="I8" i="2"/>
  <c r="H8" i="2"/>
  <c r="G8" i="2"/>
  <c r="F8" i="2"/>
  <c r="E8" i="2"/>
  <c r="D8" i="2"/>
  <c r="F30" i="2" l="1"/>
  <c r="H22" i="2"/>
  <c r="I12" i="2"/>
  <c r="I10" i="2"/>
  <c r="I9" i="2"/>
  <c r="I7" i="2"/>
  <c r="I6" i="2"/>
  <c r="I5" i="2"/>
  <c r="I4" i="2"/>
  <c r="I3" i="2"/>
  <c r="I2" i="2"/>
  <c r="D12" i="2"/>
  <c r="E12" i="2"/>
  <c r="F12" i="2"/>
  <c r="G12" i="2"/>
  <c r="H12" i="2"/>
  <c r="J12" i="2"/>
  <c r="K12" i="2"/>
  <c r="L12" i="2"/>
  <c r="M12" i="2"/>
  <c r="N12" i="2"/>
  <c r="D10" i="2"/>
  <c r="E10" i="2"/>
  <c r="F10" i="2"/>
  <c r="G10" i="2"/>
  <c r="H10" i="2"/>
  <c r="J10" i="2"/>
  <c r="K10" i="2"/>
  <c r="L10" i="2"/>
  <c r="M10" i="2"/>
  <c r="N10" i="2"/>
  <c r="D9" i="2"/>
  <c r="E9" i="2"/>
  <c r="F9" i="2"/>
  <c r="G9" i="2"/>
  <c r="H9" i="2"/>
  <c r="J9" i="2"/>
  <c r="K9" i="2"/>
  <c r="L9" i="2"/>
  <c r="M9" i="2"/>
  <c r="N9" i="2"/>
  <c r="D7" i="2"/>
  <c r="E7" i="2"/>
  <c r="F7" i="2"/>
  <c r="G7" i="2"/>
  <c r="H7" i="2"/>
  <c r="J7" i="2"/>
  <c r="K7" i="2"/>
  <c r="L7" i="2"/>
  <c r="M7" i="2"/>
  <c r="N7" i="2"/>
  <c r="C23" i="2" l="1"/>
  <c r="H23" i="2" s="1"/>
  <c r="D6" i="2"/>
  <c r="E6" i="2"/>
  <c r="F6" i="2"/>
  <c r="G6" i="2"/>
  <c r="H6" i="2"/>
  <c r="J6" i="2"/>
  <c r="K6" i="2"/>
  <c r="L6" i="2"/>
  <c r="M6" i="2"/>
  <c r="N6" i="2"/>
  <c r="D5" i="2" l="1"/>
  <c r="E5" i="2"/>
  <c r="F5" i="2"/>
  <c r="G5" i="2"/>
  <c r="H5" i="2"/>
  <c r="J5" i="2"/>
  <c r="K5" i="2"/>
  <c r="L5" i="2"/>
  <c r="M5" i="2"/>
  <c r="N5" i="2"/>
  <c r="D4" i="2"/>
  <c r="E4" i="2"/>
  <c r="F4" i="2"/>
  <c r="G4" i="2"/>
  <c r="H4" i="2"/>
  <c r="J4" i="2"/>
  <c r="K4" i="2"/>
  <c r="L4" i="2"/>
  <c r="M4" i="2"/>
  <c r="N4" i="2"/>
  <c r="D3" i="2"/>
  <c r="E3" i="2"/>
  <c r="F3" i="2"/>
  <c r="G3" i="2"/>
  <c r="H3" i="2"/>
  <c r="J3" i="2"/>
  <c r="K3" i="2"/>
  <c r="L3" i="2"/>
  <c r="M3" i="2"/>
  <c r="N3" i="2"/>
  <c r="E2" i="2"/>
  <c r="F2" i="2"/>
  <c r="G2" i="2"/>
  <c r="H2" i="2"/>
  <c r="J2" i="2"/>
  <c r="L2" i="2"/>
  <c r="M2" i="2"/>
  <c r="N2" i="2"/>
</calcChain>
</file>

<file path=xl/sharedStrings.xml><?xml version="1.0" encoding="utf-8"?>
<sst xmlns="http://schemas.openxmlformats.org/spreadsheetml/2006/main" count="200" uniqueCount="184">
  <si>
    <t>Type</t>
  </si>
  <si>
    <t>Symbol</t>
  </si>
  <si>
    <t>Description</t>
  </si>
  <si>
    <t>Close</t>
  </si>
  <si>
    <t>Open</t>
  </si>
  <si>
    <t>NetChange</t>
  </si>
  <si>
    <t>Volume</t>
  </si>
  <si>
    <t>Bid</t>
  </si>
  <si>
    <t>Last</t>
  </si>
  <si>
    <t>Ask</t>
  </si>
  <si>
    <t>BidSize</t>
  </si>
  <si>
    <t>AskSize</t>
  </si>
  <si>
    <t>Tip: Alt+F8 ? AddRTDRow_FromPrompt</t>
  </si>
  <si>
    <t>Futures</t>
  </si>
  <si>
    <t>YM</t>
  </si>
  <si>
    <t>E-mini Dow Jones</t>
  </si>
  <si>
    <t>ES</t>
  </si>
  <si>
    <t>E-mini S&amp;P 500</t>
  </si>
  <si>
    <t>NQ</t>
  </si>
  <si>
    <t>E-mini Nasdaq 100</t>
  </si>
  <si>
    <t>Unknown Symbol</t>
  </si>
  <si>
    <t>CL</t>
  </si>
  <si>
    <t>Crude Oil</t>
  </si>
  <si>
    <t>RTY</t>
  </si>
  <si>
    <t>Russle</t>
  </si>
  <si>
    <t>SI</t>
  </si>
  <si>
    <t>Silver</t>
  </si>
  <si>
    <t>HG</t>
  </si>
  <si>
    <t>Copper</t>
  </si>
  <si>
    <t>GC</t>
  </si>
  <si>
    <t>Gold</t>
  </si>
  <si>
    <t>VX</t>
  </si>
  <si>
    <t>Vix</t>
  </si>
  <si>
    <t>$DXY</t>
  </si>
  <si>
    <t>ZB</t>
  </si>
  <si>
    <t>Dollar</t>
  </si>
  <si>
    <t>Index</t>
  </si>
  <si>
    <t>24High</t>
  </si>
  <si>
    <t>24Low</t>
  </si>
  <si>
    <t>CGC</t>
  </si>
  <si>
    <t>Quotes</t>
  </si>
  <si>
    <t>Quote Trend</t>
  </si>
  <si>
    <t>Net Chng</t>
  </si>
  <si>
    <t>BS</t>
  </si>
  <si>
    <t>AS</t>
  </si>
  <si>
    <t>High</t>
  </si>
  <si>
    <t>Low</t>
  </si>
  <si>
    <t>52High</t>
  </si>
  <si>
    <t>52Low</t>
  </si>
  <si>
    <t>Date</t>
  </si>
  <si>
    <t>Total # Shares</t>
  </si>
  <si>
    <t>Cost</t>
  </si>
  <si>
    <t>Purchased Shares</t>
  </si>
  <si>
    <t>Purchased $</t>
  </si>
  <si>
    <t>Net Liquidation</t>
  </si>
  <si>
    <t>Avalable Funds</t>
  </si>
  <si>
    <t>P/L Opening</t>
  </si>
  <si>
    <t>Base</t>
  </si>
  <si>
    <t>$ P/L Day</t>
  </si>
  <si>
    <t>52HIGH</t>
  </si>
  <si>
    <t>52LOW</t>
  </si>
  <si>
    <t>ACT_WARNING</t>
  </si>
  <si>
    <t>ASK</t>
  </si>
  <si>
    <t>ASKX</t>
  </si>
  <si>
    <t>ASK_SIZE</t>
  </si>
  <si>
    <t>AV_TRADE_PRICE</t>
  </si>
  <si>
    <t>AX</t>
  </si>
  <si>
    <t>BACK_EX_MOVE</t>
  </si>
  <si>
    <t>BACK_VOL</t>
  </si>
  <si>
    <t>BA_SIZE</t>
  </si>
  <si>
    <t>BETA</t>
  </si>
  <si>
    <t>BID</t>
  </si>
  <si>
    <t>BIDX</t>
  </si>
  <si>
    <t>BID_SIZE</t>
  </si>
  <si>
    <t>BX</t>
  </si>
  <si>
    <t>CALL_VOLUME_INDEX</t>
  </si>
  <si>
    <t>CLOSE</t>
  </si>
  <si>
    <t>COST</t>
  </si>
  <si>
    <t>COVERED_RETURN</t>
  </si>
  <si>
    <t>CUSTOM1</t>
  </si>
  <si>
    <t>CUSTOM10</t>
  </si>
  <si>
    <t>CUSTOM11</t>
  </si>
  <si>
    <t>CUSTOM12</t>
  </si>
  <si>
    <t>CUSTOM13</t>
  </si>
  <si>
    <t>CUSTOM14</t>
  </si>
  <si>
    <t>CUSTOM15</t>
  </si>
  <si>
    <t>CUSTOM16</t>
  </si>
  <si>
    <t>CUSTOM17</t>
  </si>
  <si>
    <t>CUSTOM18</t>
  </si>
  <si>
    <t>CUSTOM19</t>
  </si>
  <si>
    <t>CUSTOM2</t>
  </si>
  <si>
    <t>CUSTOM3</t>
  </si>
  <si>
    <t>CUSTOM4</t>
  </si>
  <si>
    <t>CUSTOM5</t>
  </si>
  <si>
    <t>CUSTOM6</t>
  </si>
  <si>
    <t>CUSTOM7</t>
  </si>
  <si>
    <t>CUSTOM8</t>
  </si>
  <si>
    <t>CUSTOM9</t>
  </si>
  <si>
    <t>DELTA</t>
  </si>
  <si>
    <t>DESCRIPTION</t>
  </si>
  <si>
    <t>DIV</t>
  </si>
  <si>
    <t>DIV_FREQ</t>
  </si>
  <si>
    <t>EPR Lower</t>
  </si>
  <si>
    <t>EPR Upper</t>
  </si>
  <si>
    <t>EXCHANGE</t>
  </si>
  <si>
    <t>EXPIRATION</t>
  </si>
  <si>
    <t>EXPIRATION_DAY</t>
  </si>
  <si>
    <t>EXTRINSIC</t>
  </si>
  <si>
    <t>EXT_%CHNG</t>
  </si>
  <si>
    <t>EXT_LAST</t>
  </si>
  <si>
    <t>EXT_NET_CHNG</t>
  </si>
  <si>
    <t>EX_DIV_DATE</t>
  </si>
  <si>
    <t>EX_MOVE_DIFF</t>
  </si>
  <si>
    <t>FRONT_EX_MOVE</t>
  </si>
  <si>
    <t>FRONT_VOL</t>
  </si>
  <si>
    <t>FX_PAIR</t>
  </si>
  <si>
    <t>GAMMA</t>
  </si>
  <si>
    <t>HIGH</t>
  </si>
  <si>
    <t>HTB_ETB</t>
  </si>
  <si>
    <t>HTB_RATE</t>
  </si>
  <si>
    <t>HTB_SHARES_AVAILABLE</t>
  </si>
  <si>
    <t>IMPL_VOL</t>
  </si>
  <si>
    <t>INITIAL_MARGIN</t>
  </si>
  <si>
    <t>INTRINSIC</t>
  </si>
  <si>
    <t>LAST</t>
  </si>
  <si>
    <t>LASTX</t>
  </si>
  <si>
    <t>LAST_SIZE</t>
  </si>
  <si>
    <t>LOW</t>
  </si>
  <si>
    <t>LX</t>
  </si>
  <si>
    <t>MARK</t>
  </si>
  <si>
    <t>MARKET_CAP</t>
  </si>
  <si>
    <t>MARK_CHANGE</t>
  </si>
  <si>
    <t>MARK_PERCENT_CHANGE</t>
  </si>
  <si>
    <t>MARK_PERCENT_UNDERLYING</t>
  </si>
  <si>
    <t>MAX_COVERED_RETURN</t>
  </si>
  <si>
    <t>MRKT_MKR_MOVE</t>
  </si>
  <si>
    <t>MT_NEWS</t>
  </si>
  <si>
    <t>NAME</t>
  </si>
  <si>
    <t>NET_CHANGE</t>
  </si>
  <si>
    <t>OPEN</t>
  </si>
  <si>
    <t>OPEN_INT</t>
  </si>
  <si>
    <t>OPTION_VOLUME_INDEX</t>
  </si>
  <si>
    <t>PE</t>
  </si>
  <si>
    <t>PERCENT_CHANGE</t>
  </si>
  <si>
    <t>PERCENT_IN_THE_COLUMN</t>
  </si>
  <si>
    <t>PERCENT_OUT_THE_MONEY</t>
  </si>
  <si>
    <t>POSITION_N_L</t>
  </si>
  <si>
    <t>POSITION_QTY</t>
  </si>
  <si>
    <t>PROB_OF_EXPIRING</t>
  </si>
  <si>
    <t>PROB_OF_TOUCHING</t>
  </si>
  <si>
    <t>PROB_OTM</t>
  </si>
  <si>
    <t>PUT_CALL_RATIO</t>
  </si>
  <si>
    <t>PUT_VOLUME_INDEX</t>
  </si>
  <si>
    <t>P_L_DAY</t>
  </si>
  <si>
    <t>P_L_OPEN</t>
  </si>
  <si>
    <t>P_L_PERCENT</t>
  </si>
  <si>
    <t>P_L_YTD</t>
  </si>
  <si>
    <t>QUOTE_TREND</t>
  </si>
  <si>
    <t>RHO</t>
  </si>
  <si>
    <t>ROC</t>
  </si>
  <si>
    <t>ROR</t>
  </si>
  <si>
    <t>SHARES</t>
  </si>
  <si>
    <t>SM_AVERAGE_MENTIONS_PER_HOUR</t>
  </si>
  <si>
    <t>SM_DAY_TO_EIGHT_WEEKS_RATIO</t>
  </si>
  <si>
    <t>SM_DAY_TO_WEEK_RATIO</t>
  </si>
  <si>
    <t>SM_HOUR_TO_WEEK_RATIO</t>
  </si>
  <si>
    <t>SM_LAST_DAY_MENTIONS</t>
  </si>
  <si>
    <t>SM_LAST_HOUR_MENTIONS</t>
  </si>
  <si>
    <t>SM_WEEK_TO_EIGHT_WEEKS_RATIO</t>
  </si>
  <si>
    <t>STOCK_BETA</t>
  </si>
  <si>
    <t>STRENGTH_METER</t>
  </si>
  <si>
    <t>STRIKE</t>
  </si>
  <si>
    <t>SYMBOL</t>
  </si>
  <si>
    <t>THETA</t>
  </si>
  <si>
    <t>TICK_SIZE</t>
  </si>
  <si>
    <t>TICK_VALUE</t>
  </si>
  <si>
    <t>TODAY_CLOSE</t>
  </si>
  <si>
    <t>TOTAL_COST</t>
  </si>
  <si>
    <t>VEGA</t>
  </si>
  <si>
    <t>VOLUME</t>
  </si>
  <si>
    <t>VOL_DIFF</t>
  </si>
  <si>
    <t>VOL_INDEX</t>
  </si>
  <si>
    <t>WEIGHTED_BACK_VOL</t>
  </si>
  <si>
    <t>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</si>
</sst>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i/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u/>
      <sz val="11"/>
      <color rgb="FF0000C8"/>
      <name val="Aptos Narrow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/>
    <xf numFmtId="0" fontId="6" fillId="0" borderId="1" xfId="0" applyFont="1" applyBorder="1" applyAlignment="1">
      <alignment horizontal="center" wrapText="1"/>
    </xf>
    <xf numFmtId="0" fontId="6" fillId="0" borderId="1" xfId="0" applyFont="1" applyBorder="1" applyAlignment="1">
      <alignment wrapText="1"/>
    </xf>
    <xf numFmtId="0" fontId="7" fillId="0" borderId="1" xfId="0" applyFont="1" applyBorder="1" applyAlignment="1">
      <alignment wrapText="1"/>
    </xf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0" fontId="8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indexed="64"/>
          <bgColor rgb="FFE6E6E6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s">
        <v>N/A</v>
        <stp/>
        <stp>ASK</stp>
        <stp>$DXY</stp>
        <tr r="L11" s="2"/>
      </tp>
      <tp>
        <v>5</v>
        <stp/>
        <stp>ASK_SIZE</stp>
        <stp>/RTY:XCME</stp>
        <tr r="N5" s="2"/>
      </tp>
      <tp>
        <v>5</v>
        <stp/>
        <stp>BID_SIZE</stp>
        <stp>/RTY:XCME</stp>
        <tr r="M5" s="2"/>
      </tp>
      <tp>
        <v>23399</v>
        <stp/>
        <stp>VOLUME</stp>
        <stp>/GC:XCEC</stp>
        <tr r="I9" s="2"/>
      </tp>
      <tp>
        <v>1.1100000000000001</v>
        <stp/>
        <stp>OPEN</stp>
        <stp>CGC</stp>
        <tr r="L18" s="2"/>
      </tp>
      <tp>
        <v>24145</v>
        <stp/>
        <stp>VOLUME</stp>
        <stp>/ES:XCME</stp>
        <tr r="I3" s="2"/>
      </tp>
      <tp t="s">
        <v>CANOPY GROWTH CORP</v>
        <stp/>
        <stp>DESCRIPTION</stp>
        <stp>CGC</stp>
        <tr r="C18" s="2"/>
      </tp>
      <tp t="s">
        <v>instrument=CGC</v>
        <stp/>
        <stp>QUOTE_TREND</stp>
        <stp>CGC</stp>
        <tr r="D18" s="2"/>
      </tp>
      <tp>
        <v>2514.1999999999998</v>
        <stp/>
        <stp>CLOSE</stp>
        <stp>/RTY:XCME</stp>
        <tr r="D5" s="2"/>
      </tp>
      <tp>
        <v>2648</v>
        <stp/>
        <stp>VOLUME</stp>
        <stp>/RTY:XCME</stp>
        <tr r="I5" s="2"/>
      </tp>
      <tp>
        <v>4582</v>
        <stp/>
        <stp>VOLUME</stp>
        <stp>/HG:XCEC</stp>
        <tr r="I8" s="2"/>
      </tp>
      <tp>
        <v>16464</v>
        <stp/>
        <stp>VOLUME</stp>
        <stp>/NQ:XCME</stp>
        <tr r="I4" s="2"/>
      </tp>
      <tp>
        <v>4215</v>
        <stp/>
        <stp>VOLUME</stp>
        <stp>/CL:XNYM</stp>
        <tr r="I6" s="2"/>
      </tp>
      <tp>
        <v>10313</v>
        <stp/>
        <stp>VOLUME</stp>
        <stp>/SI:XCEC</stp>
        <tr r="I7" s="2"/>
      </tp>
      <tp>
        <v>1.1000000000000001</v>
        <stp/>
        <stp>LOW</stp>
        <stp>CGC</stp>
        <tr r="N18" s="2"/>
      </tp>
      <tp>
        <v>98.853999999999999</v>
        <stp/>
        <stp>CLOSE</stp>
        <stp>$DXY</stp>
        <tr r="D11" s="2"/>
      </tp>
      <tp>
        <v>729</v>
        <stp/>
        <stp>VOLUME</stp>
        <stp>/VX:XCBF</stp>
        <tr r="I10" s="2"/>
      </tp>
      <tp>
        <v>0.13500000000000001</v>
        <stp/>
        <stp>NET_CHANGE</stp>
        <stp>$DXY</stp>
        <tr r="F11" s="2"/>
      </tp>
      <tp>
        <v>1.1599999999999999</v>
        <stp/>
        <stp>LAST</stp>
        <stp>CGC</stp>
        <tr r="E18" s="2"/>
      </tp>
      <tp>
        <v>20624331</v>
        <stp/>
        <stp>VOLUME</stp>
        <stp>CGC</stp>
        <tr r="K18" s="2"/>
      </tp>
      <tp>
        <v>1.17</v>
        <stp/>
        <stp>ASK</stp>
        <stp>CGC</stp>
        <tr r="I18" s="2"/>
      </tp>
      <tp>
        <v>13108</v>
        <stp/>
        <stp>VOLUME</stp>
        <stp>/ZB:XCBT</stp>
        <tr r="I12" s="2"/>
      </tp>
      <tp>
        <v>2759</v>
        <stp/>
        <stp>VOLUME</stp>
        <stp>/YM:XCBT</stp>
        <tr r="I2" s="2"/>
      </tp>
      <tp>
        <v>1.1599999999999999</v>
        <stp/>
        <stp>BID</stp>
        <stp>CGC</stp>
        <tr r="G18" s="2"/>
      </tp>
      <tp t="s">
        <v>N/A</v>
        <stp/>
        <stp>BID</stp>
        <stp>$DXY</stp>
        <tr r="J11" s="2"/>
      </tp>
      <tp>
        <v>98.908000000000001</v>
        <stp/>
        <stp>LOW</stp>
        <stp>$DXY</stp>
        <tr r="H11" s="2"/>
      </tp>
      <tp>
        <v>1.21</v>
        <stp/>
        <stp>HIGH</stp>
        <stp>CGC</stp>
        <tr r="M18" s="2"/>
      </tp>
      <tp>
        <v>838</v>
        <stp/>
        <stp>ASK_SIZE</stp>
        <stp>/ZB:XCBT</stp>
        <tr r="N12" s="2"/>
      </tp>
      <tp>
        <v>174</v>
        <stp/>
        <stp>BID_SIZE</stp>
        <stp>/VX:XCBF</stp>
        <tr r="M10" s="2"/>
      </tp>
      <tp>
        <v>4</v>
        <stp/>
        <stp>ASK_SIZE</stp>
        <stp>/YM:XCBT</stp>
        <tr r="N2" s="2"/>
      </tp>
      <tp>
        <v>2</v>
        <stp/>
        <stp>BID_SIZE</stp>
        <stp>/SI:XCEC</stp>
        <tr r="M7" s="2"/>
      </tp>
      <tp>
        <v>98.92</v>
        <stp/>
        <stp>OPEN</stp>
        <stp>$DXY</stp>
        <tr r="E11" s="2"/>
      </tp>
      <tp>
        <v>1</v>
        <stp/>
        <stp>ASK_SIZE</stp>
        <stp>/SI:XCEC</stp>
        <tr r="N7" s="2"/>
      </tp>
      <tp>
        <v>99.027000000000001</v>
        <stp/>
        <stp>HIGH</stp>
        <stp>$DXY</stp>
        <tr r="G11" s="2"/>
      </tp>
      <tp>
        <v>107</v>
        <stp/>
        <stp>ASK_SIZE</stp>
        <stp>/VX:XCBF</stp>
        <tr r="N10" s="2"/>
      </tp>
      <tp>
        <v>1</v>
        <stp/>
        <stp>BID_SIZE</stp>
        <stp>/YM:XCBT</stp>
        <tr r="M2" s="2"/>
      </tp>
      <tp>
        <v>389</v>
        <stp/>
        <stp>BID_SIZE</stp>
        <stp>/ZB:XCBT</stp>
        <tr r="M12" s="2"/>
      </tp>
      <tp>
        <v>7</v>
        <stp/>
        <stp>BID_SIZE</stp>
        <stp>/ES:XCME</stp>
        <tr r="M3" s="2"/>
      </tp>
      <tp>
        <v>3</v>
        <stp/>
        <stp>BID_SIZE</stp>
        <stp>/GC:XCEC</stp>
        <tr r="M9" s="2"/>
      </tp>
      <tp>
        <v>4</v>
        <stp/>
        <stp>ASK_SIZE</stp>
        <stp>/HG:XCEC</stp>
        <tr r="N8" s="2"/>
      </tp>
      <tp>
        <v>9</v>
        <stp/>
        <stp>ASK_SIZE</stp>
        <stp>/CL:XNYM</stp>
        <tr r="N6" s="2"/>
      </tp>
      <tp>
        <v>2</v>
        <stp/>
        <stp>ASK_SIZE</stp>
        <stp>/NQ:XCME</stp>
        <tr r="N4" s="2"/>
      </tp>
      <tp>
        <v>7</v>
        <stp/>
        <stp>BID_SIZE</stp>
        <stp>/CL:XNYM</stp>
        <tr r="M6" s="2"/>
      </tp>
      <tp>
        <v>1</v>
        <stp/>
        <stp>BID_SIZE</stp>
        <stp>/NQ:XCME</stp>
        <tr r="M4" s="2"/>
      </tp>
      <tp>
        <v>15</v>
        <stp/>
        <stp>ASK_SIZE</stp>
        <stp>/GC:XCEC</stp>
        <tr r="N9" s="2"/>
      </tp>
      <tp>
        <v>4</v>
        <stp/>
        <stp>BID_SIZE</stp>
        <stp>/HG:XCEC</stp>
        <tr r="M8" s="2"/>
      </tp>
      <tp>
        <v>21</v>
        <stp/>
        <stp>ASK_SIZE</stp>
        <stp>/ES:XCME</stp>
        <tr r="N3" s="2"/>
      </tp>
      <tp>
        <v>98.989000000000004</v>
        <stp/>
        <stp>LAST</stp>
        <stp>$DXY</stp>
        <tr r="K11" s="2"/>
      </tp>
      <tp>
        <v>58.62</v>
        <stp/>
        <stp>CLOSE</stp>
        <stp>/SI:XCEC</stp>
        <tr r="D7" s="2"/>
      </tp>
      <tp>
        <v>4224.6000000000004</v>
        <stp/>
        <stp>ASK</stp>
        <stp>/GC:XCEC</stp>
        <tr r="L9" s="2"/>
      </tp>
      <tp>
        <v>2514.3000000000002</v>
        <stp/>
        <stp>LAST</stp>
        <stp>/RTY:XCME</stp>
        <tr r="K5" s="2"/>
      </tp>
      <tp>
        <v>0.1</v>
        <stp/>
        <stp>NET_CHANGE</stp>
        <stp>/SI:XCEC</stp>
        <tr r="F7" s="2"/>
      </tp>
      <tp t="s">
        <v>116'11</v>
        <stp/>
        <stp>LOW</stp>
        <stp>/ZB:XCBT</stp>
        <tr r="H12" s="2"/>
      </tp>
      <tp>
        <v>47976</v>
        <stp/>
        <stp>LOW</stp>
        <stp>/YM:XCBT</stp>
        <tr r="H2" s="2"/>
      </tp>
      <tp>
        <v>6860.5</v>
        <stp/>
        <stp>ASK</stp>
        <stp>/ES:XCME</stp>
        <tr r="L3" s="2"/>
      </tp>
      <tp t="s">
        <v>N/A</v>
        <stp/>
        <stp>VOLUME</stp>
        <stp>$DXY</stp>
        <tr r="I11" s="2"/>
      </tp>
      <tp>
        <v>0.02</v>
        <stp/>
        <stp>NET_CHANGE</stp>
        <stp>/VX:XCBF</stp>
        <tr r="F10" s="2"/>
      </tp>
      <tp>
        <v>48001</v>
        <stp/>
        <stp>BID</stp>
        <stp>/YM:XCBT</stp>
        <tr r="J2" s="2"/>
      </tp>
      <tp>
        <v>17.78</v>
        <stp/>
        <stp>CLOSE</stp>
        <stp>/VX:XCBF</stp>
        <tr r="D10" s="2"/>
      </tp>
      <tp t="s">
        <v>116'12</v>
        <stp/>
        <stp>BID</stp>
        <stp>/ZB:XCBT</stp>
        <tr r="J12" s="2"/>
      </tp>
      <tp>
        <v>0.1</v>
        <stp/>
        <stp>NET_CHANGE</stp>
        <stp>/RTY:XCME</stp>
        <tr r="F5" s="2"/>
      </tp>
      <tp t="s">
        <v>-0'09</v>
        <stp/>
        <stp>NET_CHANGE</stp>
        <stp>/ZB:XCBT</stp>
        <tr r="F12" s="2"/>
      </tp>
      <tp>
        <v>58.524999999999999</v>
        <stp/>
        <stp>LOW</stp>
        <stp>/SI:XCEC</stp>
        <tr r="H7" s="2"/>
      </tp>
      <tp t="s">
        <v>116'22</v>
        <stp/>
        <stp>CLOSE</stp>
        <stp>/ZB:XCBT</stp>
        <tr r="D12" s="2"/>
      </tp>
      <tp>
        <v>59.23</v>
        <stp/>
        <stp>ASK</stp>
        <stp>/CL:XNYM</stp>
        <tr r="L6" s="2"/>
      </tp>
      <tp>
        <v>25629.25</v>
        <stp/>
        <stp>ASK</stp>
        <stp>/NQ:XCME</stp>
        <tr r="L4" s="2"/>
      </tp>
      <tp>
        <v>47954</v>
        <stp/>
        <stp>CLOSE</stp>
        <stp>/YM:XCBT</stp>
        <tr r="D2" s="2"/>
      </tp>
      <tp>
        <v>48</v>
        <stp/>
        <stp>NET_CHANGE</stp>
        <stp>/YM:XCBT</stp>
        <tr r="F2" s="2"/>
      </tp>
      <tp>
        <v>17.75</v>
        <stp/>
        <stp>BID</stp>
        <stp>/VX:XCBF</stp>
        <tr r="J10" s="2"/>
      </tp>
      <tp>
        <v>17.75</v>
        <stp/>
        <stp>LOW</stp>
        <stp>/VX:XCBF</stp>
        <tr r="H10" s="2"/>
      </tp>
      <tp>
        <v>58.715000000000003</v>
        <stp/>
        <stp>BID</stp>
        <stp>/SI:XCEC</stp>
        <tr r="J7" s="2"/>
      </tp>
      <tp>
        <v>507</v>
        <stp/>
        <stp>ASK_SIZE</stp>
        <stp>CGC</stp>
        <tr r="J18" s="2"/>
      </tp>
      <tp>
        <v>5.4139999999999997</v>
        <stp/>
        <stp>ASK</stp>
        <stp>/HG:XCEC</stp>
        <tr r="L8" s="2"/>
      </tp>
      <tp>
        <v>17.8</v>
        <stp/>
        <stp>ASK</stp>
        <stp>/VX:XCBF</stp>
        <tr r="L10" s="2"/>
      </tp>
      <tp>
        <v>25628.5</v>
        <stp/>
        <stp>BID</stp>
        <stp>/NQ:XCME</stp>
        <tr r="J4" s="2"/>
      </tp>
      <tp>
        <v>59.22</v>
        <stp/>
        <stp>BID</stp>
        <stp>/CL:XNYM</stp>
        <tr r="J6" s="2"/>
      </tp>
      <tp>
        <v>5.3849999999999998</v>
        <stp/>
        <stp>LOW</stp>
        <stp>/HG:XCEC</stp>
        <tr r="H8" s="2"/>
      </tp>
      <tp>
        <v>4232.5</v>
        <stp/>
        <stp>CLOSE</stp>
        <stp>/GC:XCEC</stp>
        <tr r="D9" s="2"/>
      </tp>
      <tp>
        <v>58.725000000000001</v>
        <stp/>
        <stp>ASK</stp>
        <stp>/SI:XCEC</stp>
        <tr r="L7" s="2"/>
      </tp>
      <tp>
        <v>334</v>
        <stp/>
        <stp>BID_SIZE</stp>
        <stp>CGC</stp>
        <tr r="H18" s="2"/>
      </tp>
      <tp>
        <v>-8</v>
        <stp/>
        <stp>NET_CHANGE</stp>
        <stp>/GC:XCEC</stp>
        <tr r="F9" s="2"/>
      </tp>
      <tp>
        <v>25613.25</v>
        <stp/>
        <stp>LOW</stp>
        <stp>/NQ:XCME</stp>
        <tr r="H4" s="2"/>
      </tp>
      <tp>
        <v>58.97</v>
        <stp/>
        <stp>LOW</stp>
        <stp>/CL:XNYM</stp>
        <tr r="H6" s="2"/>
      </tp>
      <tp>
        <v>5.4124999999999996</v>
        <stp/>
        <stp>BID</stp>
        <stp>/HG:XCEC</stp>
        <tr r="J8" s="2"/>
      </tp>
      <tp>
        <v>6862</v>
        <stp/>
        <stp>CLOSE</stp>
        <stp>/ES:XCME</stp>
        <tr r="D3" s="2"/>
      </tp>
      <tp>
        <v>-1.75</v>
        <stp/>
        <stp>NET_CHANGE</stp>
        <stp>/ES:XCME</stp>
        <tr r="F3" s="2"/>
      </tp>
      <tp>
        <v>6860.25</v>
        <stp/>
        <stp>BID</stp>
        <stp>/ES:XCME</stp>
        <tr r="J3" s="2"/>
      </tp>
      <tp>
        <v>2.4E-2</v>
        <stp/>
        <stp>NET_CHANGE</stp>
        <stp>/HG:XCEC</stp>
        <tr r="F8" s="2"/>
      </tp>
      <tp>
        <v>4224.3999999999996</v>
        <stp/>
        <stp>BID</stp>
        <stp>/GC:XCEC</stp>
        <tr r="J9" s="2"/>
      </tp>
      <tp>
        <v>5.3890000000000002</v>
        <stp/>
        <stp>CLOSE</stp>
        <stp>/HG:XCEC</stp>
        <tr r="D8" s="2"/>
      </tp>
      <tp>
        <v>2514.5</v>
        <stp/>
        <stp>OPEN</stp>
        <stp>/RTY:XCME</stp>
        <tr r="E5" s="2"/>
      </tp>
      <tp>
        <v>-29.25</v>
        <stp/>
        <stp>NET_CHANGE</stp>
        <stp>/NQ:XCME</stp>
        <tr r="F4" s="2"/>
      </tp>
      <tp>
        <v>0.27</v>
        <stp/>
        <stp>NET_CHANGE</stp>
        <stp>/CL:XNYM</stp>
        <tr r="F6" s="2"/>
      </tp>
      <tp>
        <v>4216.1000000000004</v>
        <stp/>
        <stp>LOW</stp>
        <stp>/GC:XCEC</stp>
        <tr r="H9" s="2"/>
      </tp>
      <tp>
        <v>25657.5</v>
        <stp/>
        <stp>CLOSE</stp>
        <stp>/NQ:XCME</stp>
        <tr r="D4" s="2"/>
      </tp>
      <tp>
        <v>58.95</v>
        <stp/>
        <stp>CLOSE</stp>
        <stp>/CL:XNYM</stp>
        <tr r="D6" s="2"/>
      </tp>
      <tp>
        <v>2516.5</v>
        <stp/>
        <stp>HIGH</stp>
        <stp>/RTY:XCME</stp>
        <tr r="G5" s="2"/>
      </tp>
      <tp t="s">
        <v>116'13</v>
        <stp/>
        <stp>ASK</stp>
        <stp>/ZB:XCBT</stp>
        <tr r="L12" s="2"/>
      </tp>
      <tp>
        <v>0.05</v>
        <stp/>
        <stp>NET_CHANGE</stp>
        <stp>CGC</stp>
        <tr r="F18" s="2"/>
      </tp>
      <tp>
        <v>6857</v>
        <stp/>
        <stp>LOW</stp>
        <stp>/ES:XCME</stp>
        <tr r="H3" s="2"/>
      </tp>
      <tp>
        <v>48003</v>
        <stp/>
        <stp>ASK</stp>
        <stp>/YM:XCBT</stp>
        <tr r="L2" s="2"/>
      </tp>
      <tp>
        <v>48002</v>
        <stp/>
        <stp>LAST</stp>
        <stp>/YM:XCBT</stp>
        <tr r="K2" s="2"/>
      </tp>
      <tp>
        <v>25650.25</v>
        <stp/>
        <stp>OPEN</stp>
        <stp>/NQ:XCME</stp>
        <tr r="E4" s="2"/>
      </tp>
      <tp>
        <v>59.09</v>
        <stp/>
        <stp>OPEN</stp>
        <stp>/CL:XNYM</stp>
        <tr r="E6" s="2"/>
      </tp>
      <tp>
        <v>25666</v>
        <stp/>
        <stp>HIGH</stp>
        <stp>/NQ:XCME</stp>
        <tr r="G4" s="2"/>
      </tp>
      <tp t="s">
        <v>116'13</v>
        <stp/>
        <stp>LAST</stp>
        <stp>/ZB:XCBT</stp>
        <tr r="K12" s="2"/>
      </tp>
      <tp>
        <v>59.29</v>
        <stp/>
        <stp>HIGH</stp>
        <stp>/CL:XNYM</stp>
        <tr r="G6" s="2"/>
      </tp>
      <tp>
        <v>5.4245000000000001</v>
        <stp/>
        <stp>HIGH</stp>
        <stp>/HG:XCEC</stp>
        <tr r="G8" s="2"/>
      </tp>
      <tp>
        <v>5.3935000000000004</v>
        <stp/>
        <stp>OPEN</stp>
        <stp>/HG:XCEC</stp>
        <tr r="E8" s="2"/>
      </tp>
      <tp>
        <v>4234.5</v>
        <stp/>
        <stp>OPEN</stp>
        <stp>/GC:XCEC</stp>
        <tr r="E9" s="2"/>
      </tp>
      <tp>
        <v>6866.75</v>
        <stp/>
        <stp>HIGH</stp>
        <stp>/ES:XCME</stp>
        <tr r="G3" s="2"/>
      </tp>
      <tp>
        <v>2512</v>
        <stp/>
        <stp>LOW</stp>
        <stp>/RTY:XCME</stp>
        <tr r="H5" s="2"/>
      </tp>
      <tp>
        <v>4246.8999999999996</v>
        <stp/>
        <stp>HIGH</stp>
        <stp>/GC:XCEC</stp>
        <tr r="G9" s="2"/>
      </tp>
      <tp>
        <v>6866</v>
        <stp/>
        <stp>OPEN</stp>
        <stp>/ES:XCME</stp>
        <tr r="E3" s="2"/>
      </tp>
      <tp>
        <v>58.72</v>
        <stp/>
        <stp>LAST</stp>
        <stp>/SI:XCEC</stp>
        <tr r="K7" s="2"/>
      </tp>
      <tp>
        <v>17.8</v>
        <stp/>
        <stp>LAST</stp>
        <stp>/VX:XCBF</stp>
        <tr r="K10" s="2"/>
      </tp>
      <tp>
        <v>5.4130000000000003</v>
        <stp/>
        <stp>LAST</stp>
        <stp>/HG:XCEC</stp>
        <tr r="K8" s="2"/>
      </tp>
      <tp t="s">
        <v>N/A</v>
        <stp/>
        <stp>BID_SIZE</stp>
        <stp>$DXY</stp>
        <tr r="M11" s="2"/>
      </tp>
      <tp>
        <v>48030</v>
        <stp/>
        <stp>HIGH</stp>
        <stp>/YM:XCBT</stp>
        <tr r="G2" s="2"/>
      </tp>
      <tp>
        <v>2514.3000000000002</v>
        <stp/>
        <stp>ASK</stp>
        <stp>/RTY:XCME</stp>
        <tr r="L5" s="2"/>
      </tp>
      <tp t="s">
        <v>116'18</v>
        <stp/>
        <stp>OPEN</stp>
        <stp>/ZB:XCBT</stp>
        <tr r="E12" s="2"/>
      </tp>
      <tp>
        <v>47994</v>
        <stp/>
        <stp>OPEN</stp>
        <stp>/YM:XCBT</stp>
        <tr r="E2" s="2"/>
      </tp>
      <tp>
        <v>59.22</v>
        <stp/>
        <stp>LAST</stp>
        <stp>/CL:XNYM</stp>
        <tr r="K6" s="2"/>
      </tp>
      <tp>
        <v>25628.25</v>
        <stp/>
        <stp>LAST</stp>
        <stp>/NQ:XCME</stp>
        <tr r="K4" s="2"/>
      </tp>
      <tp t="s">
        <v>116'19</v>
        <stp/>
        <stp>HIGH</stp>
        <stp>/ZB:XCBT</stp>
        <tr r="G12" s="2"/>
      </tp>
      <tp>
        <v>17.8</v>
        <stp/>
        <stp>OPEN</stp>
        <stp>/VX:XCBF</stp>
        <tr r="E10" s="2"/>
      </tp>
      <tp>
        <v>2514</v>
        <stp/>
        <stp>BID</stp>
        <stp>/RTY:XCME</stp>
        <tr r="J5" s="2"/>
      </tp>
      <tp>
        <v>17.850000000000001</v>
        <stp/>
        <stp>HIGH</stp>
        <stp>/VX:XCBF</stp>
        <tr r="G10" s="2"/>
      </tp>
      <tp>
        <v>58.98</v>
        <stp/>
        <stp>OPEN</stp>
        <stp>/SI:XCEC</stp>
        <tr r="E7" s="2"/>
      </tp>
      <tp>
        <v>6860.25</v>
        <stp/>
        <stp>LAST</stp>
        <stp>/ES:XCME</stp>
        <tr r="K3" s="2"/>
      </tp>
      <tp t="s">
        <v>N/A</v>
        <stp/>
        <stp>ASK_SIZE</stp>
        <stp>$DXY</stp>
        <tr r="N11" s="2"/>
      </tp>
      <tp>
        <v>59.234999999999999</v>
        <stp/>
        <stp>HIGH</stp>
        <stp>/SI:XCEC</stp>
        <tr r="G7" s="2"/>
      </tp>
      <tp>
        <v>4224.5</v>
        <stp/>
        <stp>LAST</stp>
        <stp>/GC:XCEC</stp>
        <tr r="K9" s="2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66675</xdr:colOff>
          <xdr:row>1</xdr:row>
          <xdr:rowOff>171450</xdr:rowOff>
        </xdr:to>
        <xdr:sp macro="" textlink="">
          <xdr:nvSpPr>
            <xdr:cNvPr id="1032" name="btnAddRTD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RTD Symbol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23A76E-63E9-4BB6-9AAE-1241B5FD37F5}" name="tblLiveData" displayName="tblLiveData" ref="A1:N12" totalsRowShown="0" headerRowDxfId="0">
  <autoFilter ref="A1:N12" xr:uid="{DF23A76E-63E9-4BB6-9AAE-1241B5FD37F5}"/>
  <tableColumns count="14">
    <tableColumn id="1" xr3:uid="{5E7E7D26-100F-4A3D-A6A9-F57E8C271516}" name="Type"/>
    <tableColumn id="2" xr3:uid="{785401A8-F735-42F9-9023-2B646BC4D363}" name="Symbol"/>
    <tableColumn id="3" xr3:uid="{225077D7-B54D-4AF4-9BEB-E8DCCF2967C9}" name="Description"/>
    <tableColumn id="4" xr3:uid="{AB348E9A-FA4B-45EA-A5A2-6A59D4B56DE2}" name="Close"/>
    <tableColumn id="5" xr3:uid="{8EA2CFEB-9C33-40C5-9BB6-6B4DAF488C4B}" name="Open"/>
    <tableColumn id="6" xr3:uid="{E38F0B9C-62D2-4F1D-B9D3-4DBCAAFE8885}" name="NetChange"/>
    <tableColumn id="7" xr3:uid="{179971C0-3FA1-4E10-A6C1-E6E57A8895C4}" name="24High"/>
    <tableColumn id="8" xr3:uid="{DAA02DE4-BC52-4E9A-AB82-8F4CAB510367}" name="24Low"/>
    <tableColumn id="9" xr3:uid="{9FDB4A4C-40B7-4310-A308-8D54C754BF94}" name="Volume"/>
    <tableColumn id="10" xr3:uid="{07E8C959-F9E4-44F9-A10D-135F4A20F09E}" name="Bid"/>
    <tableColumn id="11" xr3:uid="{4B601DE9-48BD-4A44-B135-59C37DE0F52C}" name="Last"/>
    <tableColumn id="12" xr3:uid="{B1F20E2E-F46E-4DD1-8F01-A9D2A4ED23D2}" name="Ask"/>
    <tableColumn id="13" xr3:uid="{DF40205A-0F95-4F2A-80C5-CD30C9672D2E}" name="BidSize"/>
    <tableColumn id="14" xr3:uid="{AD9FBD58-EFEC-4EDD-8E30-486FC985AB94}" name="AskSiz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DF5D7-07A1-4C3C-AA2B-D0A2FF7DEACC}">
  <sheetPr codeName="Sheet2"/>
  <dimension ref="A1:AB30"/>
  <sheetViews>
    <sheetView tabSelected="1" workbookViewId="0">
      <pane ySplit="1" topLeftCell="A2" activePane="bottomLeft" state="frozen"/>
      <selection pane="bottomLeft" activeCell="Q15" sqref="Q15"/>
    </sheetView>
  </sheetViews>
  <sheetFormatPr defaultRowHeight="15" x14ac:dyDescent="0.25"/>
  <cols>
    <col min="1" max="1" width="9.85546875" bestFit="1" customWidth="1"/>
    <col min="2" max="2" width="12.28515625" bestFit="1" customWidth="1"/>
    <col min="3" max="3" width="22.28515625" bestFit="1" customWidth="1"/>
    <col min="4" max="4" width="15.28515625" bestFit="1" customWidth="1"/>
    <col min="5" max="5" width="10.42578125" bestFit="1" customWidth="1"/>
    <col min="6" max="6" width="15.7109375" bestFit="1" customWidth="1"/>
    <col min="7" max="7" width="12.140625" bestFit="1" customWidth="1"/>
    <col min="8" max="8" width="11.28515625" bestFit="1" customWidth="1"/>
    <col min="9" max="9" width="12.42578125" bestFit="1" customWidth="1"/>
    <col min="10" max="10" width="11.28515625" bestFit="1" customWidth="1"/>
    <col min="11" max="11" width="9.28515625" bestFit="1" customWidth="1"/>
    <col min="12" max="12" width="9" bestFit="1" customWidth="1"/>
    <col min="13" max="13" width="12.140625" bestFit="1" customWidth="1"/>
    <col min="14" max="14" width="12.42578125" bestFit="1" customWidth="1"/>
    <col min="15" max="15" width="7.140625" bestFit="1" customWidth="1"/>
    <col min="16" max="16" width="6.5703125" bestFit="1" customWidth="1"/>
    <col min="17" max="17" width="36.28515625" bestFit="1" customWidth="1"/>
  </cols>
  <sheetData>
    <row r="1" spans="1:17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37</v>
      </c>
      <c r="H1" s="1" t="s">
        <v>38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Q1" s="2" t="s">
        <v>12</v>
      </c>
    </row>
    <row r="2" spans="1:17" x14ac:dyDescent="0.25">
      <c r="A2" t="s">
        <v>13</v>
      </c>
      <c r="B2" t="s">
        <v>14</v>
      </c>
      <c r="C2" t="s">
        <v>15</v>
      </c>
      <c r="D2">
        <f>RTD("tos.rtd","","CLOSE","/YM:XCBT")</f>
        <v>47954</v>
      </c>
      <c r="E2">
        <f>RTD("tos.rtd","","OPEN","/YM:XCBT")</f>
        <v>47994</v>
      </c>
      <c r="F2">
        <f>RTD("tos.rtd","","NET_CHANGE","/YM:XCBT")</f>
        <v>48</v>
      </c>
      <c r="G2">
        <f>RTD("tos.rtd","","HIGH","/YM:XCBT")</f>
        <v>48030</v>
      </c>
      <c r="H2">
        <f>RTD("tos.rtd","","LOW","/YM:XCBT")</f>
        <v>47976</v>
      </c>
      <c r="I2">
        <f>RTD("tos.rtd","","VOLUME","/YM:XCBT")</f>
        <v>2759</v>
      </c>
      <c r="J2">
        <f>RTD("tos.rtd","","BID","/YM:XCBT")</f>
        <v>48001</v>
      </c>
      <c r="K2">
        <f>RTD("tos.rtd","","LAST","/YM:XCBT")</f>
        <v>48002</v>
      </c>
      <c r="L2">
        <f>RTD("tos.rtd","","ASK","/YM:XCBT")</f>
        <v>48003</v>
      </c>
      <c r="M2">
        <f>RTD("tos.rtd","","BID_SIZE","/YM:XCBT")</f>
        <v>1</v>
      </c>
      <c r="N2">
        <f>RTD("tos.rtd","","ASK_SIZE","/YM:XCBT")</f>
        <v>4</v>
      </c>
    </row>
    <row r="3" spans="1:17" x14ac:dyDescent="0.25">
      <c r="A3" t="s">
        <v>13</v>
      </c>
      <c r="B3" t="s">
        <v>16</v>
      </c>
      <c r="C3" t="s">
        <v>17</v>
      </c>
      <c r="D3">
        <f>RTD("tos.rtd","","CLOSE","/ES:XCME")</f>
        <v>6862</v>
      </c>
      <c r="E3">
        <f>RTD("tos.rtd","","OPEN","/ES:XCME")</f>
        <v>6866</v>
      </c>
      <c r="F3">
        <f>RTD("tos.rtd","","NET_CHANGE","/ES:XCME")</f>
        <v>-1.75</v>
      </c>
      <c r="G3">
        <f>RTD("tos.rtd","","HIGH","/ES:XCME")</f>
        <v>6866.75</v>
      </c>
      <c r="H3">
        <f>RTD("tos.rtd","","LOW","/ES:XCME")</f>
        <v>6857</v>
      </c>
      <c r="I3">
        <f>RTD("tos.rtd","","VOLUME","/ES:XCME")</f>
        <v>24145</v>
      </c>
      <c r="J3">
        <f>RTD("tos.rtd","","BID","/ES:XCME")</f>
        <v>6860.25</v>
      </c>
      <c r="K3">
        <f>RTD("tos.rtd","","LAST","/ES:XCME")</f>
        <v>6860.25</v>
      </c>
      <c r="L3">
        <f>RTD("tos.rtd","","ASK","/ES:XCME")</f>
        <v>6860.5</v>
      </c>
      <c r="M3">
        <f>RTD("tos.rtd","","BID_SIZE","/ES:XCME")</f>
        <v>7</v>
      </c>
      <c r="N3">
        <f>RTD("tos.rtd","","ASK_SIZE","/ES:XCME")</f>
        <v>21</v>
      </c>
    </row>
    <row r="4" spans="1:17" x14ac:dyDescent="0.25">
      <c r="A4" t="s">
        <v>13</v>
      </c>
      <c r="B4" t="s">
        <v>18</v>
      </c>
      <c r="C4" t="s">
        <v>19</v>
      </c>
      <c r="D4">
        <f>RTD("tos.rtd","","CLOSE","/NQ:XCME")</f>
        <v>25657.5</v>
      </c>
      <c r="E4">
        <f>RTD("tos.rtd","","OPEN","/NQ:XCME")</f>
        <v>25650.25</v>
      </c>
      <c r="F4">
        <f>RTD("tos.rtd","","NET_CHANGE","/NQ:XCME")</f>
        <v>-29.25</v>
      </c>
      <c r="G4">
        <f>RTD("tos.rtd","","HIGH","/NQ:XCME")</f>
        <v>25666</v>
      </c>
      <c r="H4">
        <f>RTD("tos.rtd","","LOW","/NQ:XCME")</f>
        <v>25613.25</v>
      </c>
      <c r="I4">
        <f>RTD("tos.rtd","","VOLUME","/NQ:XCME")</f>
        <v>16464</v>
      </c>
      <c r="J4">
        <f>RTD("tos.rtd","","BID","/NQ:XCME")</f>
        <v>25628.5</v>
      </c>
      <c r="K4">
        <f>RTD("tos.rtd","","LAST","/NQ:XCME")</f>
        <v>25628.25</v>
      </c>
      <c r="L4">
        <f>RTD("tos.rtd","","ASK","/NQ:XCME")</f>
        <v>25629.25</v>
      </c>
      <c r="M4">
        <f>RTD("tos.rtd","","BID_SIZE","/NQ:XCME")</f>
        <v>1</v>
      </c>
      <c r="N4">
        <f>RTD("tos.rtd","","ASK_SIZE","/NQ:XCME")</f>
        <v>2</v>
      </c>
    </row>
    <row r="5" spans="1:17" x14ac:dyDescent="0.25">
      <c r="A5" t="s">
        <v>13</v>
      </c>
      <c r="B5" t="s">
        <v>23</v>
      </c>
      <c r="C5" t="s">
        <v>24</v>
      </c>
      <c r="D5">
        <f>RTD("tos.rtd","","CLOSE","/RTY:XCME")</f>
        <v>2514.1999999999998</v>
      </c>
      <c r="E5">
        <f>RTD("tos.rtd","","OPEN","/RTY:XCME")</f>
        <v>2514.5</v>
      </c>
      <c r="F5">
        <f>RTD("tos.rtd","","NET_CHANGE","/RTY:XCME")</f>
        <v>0.1</v>
      </c>
      <c r="G5">
        <f>RTD("tos.rtd","","HIGH","/RTY:XCME")</f>
        <v>2516.5</v>
      </c>
      <c r="H5">
        <f>RTD("tos.rtd","","LOW","/RTY:XCME")</f>
        <v>2512</v>
      </c>
      <c r="I5">
        <f>RTD("tos.rtd","","VOLUME","/RTY:XCME")</f>
        <v>2648</v>
      </c>
      <c r="J5">
        <f>RTD("tos.rtd","","BID","/RTY:XCME")</f>
        <v>2514</v>
      </c>
      <c r="K5">
        <f>RTD("tos.rtd","","LAST","/RTY:XCME")</f>
        <v>2514.3000000000002</v>
      </c>
      <c r="L5">
        <f>RTD("tos.rtd","","ASK","/RTY:XCME")</f>
        <v>2514.3000000000002</v>
      </c>
      <c r="M5">
        <f>RTD("tos.rtd","","BID_SIZE","/RTY:XCME")</f>
        <v>5</v>
      </c>
      <c r="N5">
        <f>RTD("tos.rtd","","ASK_SIZE","/RTY:XCME")</f>
        <v>5</v>
      </c>
    </row>
    <row r="6" spans="1:17" x14ac:dyDescent="0.25">
      <c r="A6" t="s">
        <v>13</v>
      </c>
      <c r="B6" t="s">
        <v>21</v>
      </c>
      <c r="C6" t="s">
        <v>22</v>
      </c>
      <c r="D6">
        <f>RTD("tos.rtd","","CLOSE","/CL:XNYM")</f>
        <v>58.95</v>
      </c>
      <c r="E6">
        <f>RTD("tos.rtd","","OPEN","/CL:XNYM")</f>
        <v>59.09</v>
      </c>
      <c r="F6">
        <f>RTD("tos.rtd","","NET_CHANGE","/CL:XNYM")</f>
        <v>0.27</v>
      </c>
      <c r="G6">
        <f>RTD("tos.rtd","","HIGH","/CL:XNYM")</f>
        <v>59.29</v>
      </c>
      <c r="H6">
        <f>RTD("tos.rtd","","LOW","/CL:XNYM")</f>
        <v>58.97</v>
      </c>
      <c r="I6">
        <f>RTD("tos.rtd","","VOLUME","/CL:XNYM")</f>
        <v>4215</v>
      </c>
      <c r="J6">
        <f>RTD("tos.rtd","","BID","/CL:XNYM")</f>
        <v>59.22</v>
      </c>
      <c r="K6">
        <f>RTD("tos.rtd","","LAST","/CL:XNYM")</f>
        <v>59.22</v>
      </c>
      <c r="L6">
        <f>RTD("tos.rtd","","ASK","/CL:XNYM")</f>
        <v>59.23</v>
      </c>
      <c r="M6">
        <f>RTD("tos.rtd","","BID_SIZE","/CL:XNYM")</f>
        <v>7</v>
      </c>
      <c r="N6">
        <f>RTD("tos.rtd","","ASK_SIZE","/CL:XNYM")</f>
        <v>9</v>
      </c>
    </row>
    <row r="7" spans="1:17" x14ac:dyDescent="0.25">
      <c r="A7" t="s">
        <v>13</v>
      </c>
      <c r="B7" t="s">
        <v>25</v>
      </c>
      <c r="C7" t="s">
        <v>26</v>
      </c>
      <c r="D7">
        <f>RTD("tos.rtd","","CLOSE","/SI:XCEC")</f>
        <v>58.62</v>
      </c>
      <c r="E7">
        <f>RTD("tos.rtd","","OPEN","/SI:XCEC")</f>
        <v>58.98</v>
      </c>
      <c r="F7">
        <f>RTD("tos.rtd","","NET_CHANGE","/SI:XCEC")</f>
        <v>0.1</v>
      </c>
      <c r="G7">
        <f>RTD("tos.rtd","","HIGH","/SI:XCEC")</f>
        <v>59.234999999999999</v>
      </c>
      <c r="H7">
        <f>RTD("tos.rtd","","LOW","/SI:XCEC")</f>
        <v>58.524999999999999</v>
      </c>
      <c r="I7">
        <f>RTD("tos.rtd","","VOLUME","/SI:XCEC")</f>
        <v>10313</v>
      </c>
      <c r="J7">
        <f>RTD("tos.rtd","","BID","/SI:XCEC")</f>
        <v>58.715000000000003</v>
      </c>
      <c r="K7">
        <f>RTD("tos.rtd","","LAST","/SI:XCEC")</f>
        <v>58.72</v>
      </c>
      <c r="L7">
        <f>RTD("tos.rtd","","ASK","/SI:XCEC")</f>
        <v>58.725000000000001</v>
      </c>
      <c r="M7">
        <f>RTD("tos.rtd","","BID_SIZE","/SI:XCEC")</f>
        <v>2</v>
      </c>
      <c r="N7">
        <f>RTD("tos.rtd","","ASK_SIZE","/SI:XCEC")</f>
        <v>1</v>
      </c>
    </row>
    <row r="8" spans="1:17" x14ac:dyDescent="0.25">
      <c r="A8" t="s">
        <v>13</v>
      </c>
      <c r="B8" t="s">
        <v>27</v>
      </c>
      <c r="C8" t="s">
        <v>28</v>
      </c>
      <c r="D8">
        <f>RTD("tos.rtd","","CLOSE","/HG:XCEC")</f>
        <v>5.3890000000000002</v>
      </c>
      <c r="E8">
        <f>RTD("tos.rtd","","OPEN","/HG:XCEC")</f>
        <v>5.3935000000000004</v>
      </c>
      <c r="F8">
        <f>RTD("tos.rtd","","NET_CHANGE","/HG:XCEC")</f>
        <v>2.4E-2</v>
      </c>
      <c r="G8">
        <f>RTD("tos.rtd","","HIGH","/HG:XCEC")</f>
        <v>5.4245000000000001</v>
      </c>
      <c r="H8">
        <f>RTD("tos.rtd","","LOW","/HG:XCEC")</f>
        <v>5.3849999999999998</v>
      </c>
      <c r="I8">
        <f>RTD("tos.rtd","","VOLUME","/HG:XCEC")</f>
        <v>4582</v>
      </c>
      <c r="J8">
        <f>RTD("tos.rtd","","BID","/HG:XCEC")</f>
        <v>5.4124999999999996</v>
      </c>
      <c r="K8">
        <f>RTD("tos.rtd","","LAST","/HG:XCEC")</f>
        <v>5.4130000000000003</v>
      </c>
      <c r="L8">
        <f>RTD("tos.rtd","","ASK","/HG:XCEC")</f>
        <v>5.4139999999999997</v>
      </c>
      <c r="M8">
        <f>RTD("tos.rtd","","BID_SIZE","/HG:XCEC")</f>
        <v>4</v>
      </c>
      <c r="N8">
        <f>RTD("tos.rtd","","ASK_SIZE","/HG:XCEC")</f>
        <v>4</v>
      </c>
    </row>
    <row r="9" spans="1:17" x14ac:dyDescent="0.25">
      <c r="A9" t="s">
        <v>13</v>
      </c>
      <c r="B9" t="s">
        <v>29</v>
      </c>
      <c r="C9" t="s">
        <v>30</v>
      </c>
      <c r="D9">
        <f>RTD("tos.rtd","","CLOSE","/GC:XCEC")</f>
        <v>4232.5</v>
      </c>
      <c r="E9">
        <f>RTD("tos.rtd","","OPEN","/GC:XCEC")</f>
        <v>4234.5</v>
      </c>
      <c r="F9">
        <f>RTD("tos.rtd","","NET_CHANGE","/GC:XCEC")</f>
        <v>-8</v>
      </c>
      <c r="G9">
        <f>RTD("tos.rtd","","HIGH","/GC:XCEC")</f>
        <v>4246.8999999999996</v>
      </c>
      <c r="H9">
        <f>RTD("tos.rtd","","LOW","/GC:XCEC")</f>
        <v>4216.1000000000004</v>
      </c>
      <c r="I9">
        <f>RTD("tos.rtd","","VOLUME","/GC:XCEC")</f>
        <v>23399</v>
      </c>
      <c r="J9">
        <f>RTD("tos.rtd","","BID","/GC:XCEC")</f>
        <v>4224.3999999999996</v>
      </c>
      <c r="K9">
        <f>RTD("tos.rtd","","LAST","/GC:XCEC")</f>
        <v>4224.5</v>
      </c>
      <c r="L9">
        <f>RTD("tos.rtd","","ASK","/GC:XCEC")</f>
        <v>4224.6000000000004</v>
      </c>
      <c r="M9">
        <f>RTD("tos.rtd","","BID_SIZE","/GC:XCEC")</f>
        <v>3</v>
      </c>
      <c r="N9">
        <f>RTD("tos.rtd","","ASK_SIZE","/GC:XCEC")</f>
        <v>15</v>
      </c>
    </row>
    <row r="10" spans="1:17" x14ac:dyDescent="0.25">
      <c r="A10" t="s">
        <v>13</v>
      </c>
      <c r="B10" t="s">
        <v>31</v>
      </c>
      <c r="C10" t="s">
        <v>32</v>
      </c>
      <c r="D10">
        <f>RTD("tos.rtd","","CLOSE","/VX:XCBF")</f>
        <v>17.78</v>
      </c>
      <c r="E10">
        <f>RTD("tos.rtd","","OPEN","/VX:XCBF")</f>
        <v>17.8</v>
      </c>
      <c r="F10">
        <f>RTD("tos.rtd","","NET_CHANGE","/VX:XCBF")</f>
        <v>0.02</v>
      </c>
      <c r="G10">
        <f>RTD("tos.rtd","","HIGH","/VX:XCBF")</f>
        <v>17.850000000000001</v>
      </c>
      <c r="H10">
        <f>RTD("tos.rtd","","LOW","/VX:XCBF")</f>
        <v>17.75</v>
      </c>
      <c r="I10">
        <f>RTD("tos.rtd","","VOLUME","/VX:XCBF")</f>
        <v>729</v>
      </c>
      <c r="J10">
        <f>RTD("tos.rtd","","BID","/VX:XCBF")</f>
        <v>17.75</v>
      </c>
      <c r="K10">
        <f>RTD("tos.rtd","","LAST","/VX:XCBF")</f>
        <v>17.8</v>
      </c>
      <c r="L10">
        <f>RTD("tos.rtd","","ASK","/VX:XCBF")</f>
        <v>17.8</v>
      </c>
      <c r="M10">
        <f>RTD("tos.rtd","","BID_SIZE","/VX:XCBF")</f>
        <v>174</v>
      </c>
      <c r="N10">
        <f>RTD("tos.rtd","","ASK_SIZE","/VX:XCBF")</f>
        <v>107</v>
      </c>
    </row>
    <row r="11" spans="1:17" x14ac:dyDescent="0.25">
      <c r="A11" t="s">
        <v>36</v>
      </c>
      <c r="B11" t="s">
        <v>33</v>
      </c>
      <c r="C11" t="s">
        <v>35</v>
      </c>
      <c r="D11">
        <f>RTD("tos.rtd","","CLOSE","$DXY")</f>
        <v>98.853999999999999</v>
      </c>
      <c r="E11">
        <f>RTD("tos.rtd","","OPEN","$DXY")</f>
        <v>98.92</v>
      </c>
      <c r="F11">
        <f>RTD("tos.rtd","","NET_CHANGE","$DXY")</f>
        <v>0.13500000000000001</v>
      </c>
      <c r="G11">
        <f>RTD("tos.rtd","","HIGH","$DXY")</f>
        <v>99.027000000000001</v>
      </c>
      <c r="H11">
        <f>RTD("tos.rtd","","LOW","$DXY")</f>
        <v>98.908000000000001</v>
      </c>
      <c r="I11" t="str">
        <f>RTD("tos.rtd","","VOLUME","$DXY")</f>
        <v>N/A</v>
      </c>
      <c r="J11" t="str">
        <f>RTD("tos.rtd","","BID","$DXY")</f>
        <v>N/A</v>
      </c>
      <c r="K11">
        <f>RTD("tos.rtd","","LAST","$DXY")</f>
        <v>98.989000000000004</v>
      </c>
      <c r="L11" t="str">
        <f>RTD("tos.rtd","","ASK","$DXY")</f>
        <v>N/A</v>
      </c>
      <c r="M11" t="str">
        <f>RTD("tos.rtd","","BID_SIZE","$DXY")</f>
        <v>N/A</v>
      </c>
      <c r="N11" t="str">
        <f>RTD("tos.rtd","","ASK_SIZE","$DXY")</f>
        <v>N/A</v>
      </c>
    </row>
    <row r="12" spans="1:17" x14ac:dyDescent="0.25">
      <c r="A12" t="s">
        <v>13</v>
      </c>
      <c r="B12" t="s">
        <v>34</v>
      </c>
      <c r="C12" t="s">
        <v>20</v>
      </c>
      <c r="D12" t="str">
        <f>RTD("tos.rtd","","CLOSE","/ZB:XCBT")</f>
        <v>116'22</v>
      </c>
      <c r="E12" t="str">
        <f>RTD("tos.rtd","","OPEN","/ZB:XCBT")</f>
        <v>116'18</v>
      </c>
      <c r="F12" t="str">
        <f>RTD("tos.rtd","","NET_CHANGE","/ZB:XCBT")</f>
        <v>-0'09</v>
      </c>
      <c r="G12" t="str">
        <f>RTD("tos.rtd","","HIGH","/ZB:XCBT")</f>
        <v>116'19</v>
      </c>
      <c r="H12" t="str">
        <f>RTD("tos.rtd","","LOW","/ZB:XCBT")</f>
        <v>116'11</v>
      </c>
      <c r="I12">
        <f>RTD("tos.rtd","","VOLUME","/ZB:XCBT")</f>
        <v>13108</v>
      </c>
      <c r="J12" t="str">
        <f>RTD("tos.rtd","","BID","/ZB:XCBT")</f>
        <v>116'12</v>
      </c>
      <c r="K12" t="str">
        <f>RTD("tos.rtd","","LAST","/ZB:XCBT")</f>
        <v>116'13</v>
      </c>
      <c r="L12" t="str">
        <f>RTD("tos.rtd","","ASK","/ZB:XCBT")</f>
        <v>116'13</v>
      </c>
      <c r="M12">
        <f>RTD("tos.rtd","","BID_SIZE","/ZB:XCBT")</f>
        <v>389</v>
      </c>
      <c r="N12">
        <f>RTD("tos.rtd","","ASK_SIZE","/ZB:XCBT")</f>
        <v>838</v>
      </c>
    </row>
    <row r="16" spans="1:17" x14ac:dyDescent="0.25">
      <c r="B16" s="3" t="s">
        <v>40</v>
      </c>
    </row>
    <row r="17" spans="1:28" x14ac:dyDescent="0.25">
      <c r="B17" s="9" t="s">
        <v>1</v>
      </c>
      <c r="C17" s="9" t="s">
        <v>2</v>
      </c>
      <c r="D17" s="9" t="s">
        <v>41</v>
      </c>
      <c r="E17" s="9" t="s">
        <v>8</v>
      </c>
      <c r="F17" s="9" t="s">
        <v>42</v>
      </c>
      <c r="G17" s="9" t="s">
        <v>7</v>
      </c>
      <c r="H17" s="9" t="s">
        <v>43</v>
      </c>
      <c r="I17" s="9" t="s">
        <v>9</v>
      </c>
      <c r="J17" s="9" t="s">
        <v>44</v>
      </c>
      <c r="K17" s="9" t="s">
        <v>6</v>
      </c>
      <c r="L17" s="9" t="s">
        <v>4</v>
      </c>
      <c r="M17" s="9" t="s">
        <v>45</v>
      </c>
      <c r="N17" s="9" t="s">
        <v>46</v>
      </c>
      <c r="O17" s="9" t="s">
        <v>47</v>
      </c>
      <c r="P17" s="9" t="s">
        <v>48</v>
      </c>
    </row>
    <row r="18" spans="1:28" s="10" customFormat="1" x14ac:dyDescent="0.25">
      <c r="B18" s="10" t="s">
        <v>39</v>
      </c>
      <c r="C18" s="10" t="str">
        <f>RTD("tos.rtd", , "DESCRIPTION", "CGC")</f>
        <v>CANOPY GROWTH CORP</v>
      </c>
      <c r="D18" s="10" t="str">
        <f>RTD("tos.rtd", , "QUOTE_TREND", "CGC")</f>
        <v>instrument=CGC</v>
      </c>
      <c r="E18" s="10">
        <f>RTD("tos.rtd", , "LAST", "CGC")</f>
        <v>1.1599999999999999</v>
      </c>
      <c r="F18" s="10">
        <f>RTD("tos.rtd", , "NET_CHANGE", "CGC")</f>
        <v>0.05</v>
      </c>
      <c r="G18" s="10">
        <f>RTD("tos.rtd", , "BID", "CGC")</f>
        <v>1.1599999999999999</v>
      </c>
      <c r="H18" s="10">
        <f>RTD("tos.rtd", , "BID_SIZE", "CGC")</f>
        <v>334</v>
      </c>
      <c r="I18" s="10">
        <f>RTD("tos.rtd", , "ASK", "CGC")</f>
        <v>1.17</v>
      </c>
      <c r="J18" s="10">
        <f>RTD("tos.rtd", , "ASK_SIZE", "CGC")</f>
        <v>507</v>
      </c>
      <c r="K18" s="10">
        <f>RTD("tos.rtd", , "VOLUME", "CGC")</f>
        <v>20624331</v>
      </c>
      <c r="L18" s="10">
        <f>RTD("tos.rtd", , "OPEN", "CGC")</f>
        <v>1.1100000000000001</v>
      </c>
      <c r="M18" s="10">
        <f>RTD("tos.rtd", , "HIGH", "CGC")</f>
        <v>1.21</v>
      </c>
      <c r="N18" s="10">
        <f>RTD("tos.rtd", , "LOW", "CGC")</f>
        <v>1.1000000000000001</v>
      </c>
      <c r="O18" s="10">
        <v>4.2472000000000003</v>
      </c>
      <c r="P18" s="10">
        <v>0.77</v>
      </c>
    </row>
    <row r="19" spans="1:28" x14ac:dyDescent="0.25">
      <c r="A19" s="3"/>
      <c r="B19" s="3"/>
    </row>
    <row r="20" spans="1:28" ht="15.75" thickBot="1" x14ac:dyDescent="0.3"/>
    <row r="21" spans="1:28" ht="27" thickBot="1" x14ac:dyDescent="0.3">
      <c r="B21" s="4" t="s">
        <v>49</v>
      </c>
      <c r="C21" s="4" t="s">
        <v>50</v>
      </c>
      <c r="D21" s="4" t="s">
        <v>51</v>
      </c>
      <c r="E21" s="5" t="s">
        <v>58</v>
      </c>
      <c r="F21" s="5" t="s">
        <v>52</v>
      </c>
      <c r="G21" s="5" t="s">
        <v>53</v>
      </c>
      <c r="H21" s="4" t="s">
        <v>54</v>
      </c>
      <c r="I21" s="4" t="s">
        <v>55</v>
      </c>
      <c r="J21" s="6" t="s">
        <v>56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</row>
    <row r="22" spans="1:28" x14ac:dyDescent="0.25">
      <c r="B22" s="8" t="s">
        <v>57</v>
      </c>
      <c r="C22">
        <v>135</v>
      </c>
      <c r="D22">
        <v>3.72</v>
      </c>
      <c r="F22" s="11"/>
      <c r="G22">
        <v>3.72</v>
      </c>
      <c r="H22" s="11">
        <f>I22+(E18*C22)</f>
        <v>654.62</v>
      </c>
      <c r="I22">
        <v>498.02</v>
      </c>
      <c r="J22" s="11">
        <f>(-C22*D22)-(-C22*E18)</f>
        <v>-345.6</v>
      </c>
    </row>
    <row r="23" spans="1:28" x14ac:dyDescent="0.25">
      <c r="B23" s="7">
        <v>45974</v>
      </c>
      <c r="C23" s="12">
        <f>C22+F23</f>
        <v>149</v>
      </c>
      <c r="D23">
        <f>G23*F23</f>
        <v>15.260000000000002</v>
      </c>
      <c r="E23">
        <f>F18*C22</f>
        <v>6.75</v>
      </c>
      <c r="F23" s="12">
        <v>14</v>
      </c>
      <c r="G23" s="11">
        <v>1.0900000000000001</v>
      </c>
      <c r="H23" s="11">
        <f>(C23*G23)+I23</f>
        <v>645.17000000000007</v>
      </c>
      <c r="I23">
        <f>I22-D23</f>
        <v>482.76</v>
      </c>
      <c r="J23" s="11"/>
    </row>
    <row r="24" spans="1:28" x14ac:dyDescent="0.25">
      <c r="C24">
        <v>154</v>
      </c>
      <c r="D24">
        <v>1.06</v>
      </c>
      <c r="E24">
        <v>-4.5999999999999996</v>
      </c>
      <c r="F24">
        <v>5</v>
      </c>
      <c r="G24">
        <v>1.06</v>
      </c>
    </row>
    <row r="27" spans="1:28" x14ac:dyDescent="0.25">
      <c r="E27" s="12"/>
    </row>
    <row r="30" spans="1:28" x14ac:dyDescent="0.25">
      <c r="F30">
        <f>E25*I18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tnAddRTD">
              <controlPr defaultSize="0" print="0" autoFill="0" autoPict="0" macro="[0]!AddRTDRow_FromPrompt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66675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CC584-E866-4462-A647-BB6C8A9A72D8}">
  <sheetPr codeName="Sheet4"/>
  <dimension ref="A1:A125"/>
  <sheetViews>
    <sheetView workbookViewId="0">
      <selection activeCell="O19" sqref="O19"/>
    </sheetView>
  </sheetViews>
  <sheetFormatPr defaultRowHeight="15" x14ac:dyDescent="0.25"/>
  <cols>
    <col min="1" max="1" width="33.42578125" bestFit="1" customWidth="1"/>
  </cols>
  <sheetData>
    <row r="1" spans="1:1" x14ac:dyDescent="0.25">
      <c r="A1" t="s">
        <v>59</v>
      </c>
    </row>
    <row r="2" spans="1:1" x14ac:dyDescent="0.25">
      <c r="A2" t="s">
        <v>60</v>
      </c>
    </row>
    <row r="3" spans="1:1" x14ac:dyDescent="0.25">
      <c r="A3" t="s">
        <v>61</v>
      </c>
    </row>
    <row r="4" spans="1:1" x14ac:dyDescent="0.25">
      <c r="A4" t="s">
        <v>62</v>
      </c>
    </row>
    <row r="5" spans="1:1" x14ac:dyDescent="0.25">
      <c r="A5" t="s">
        <v>63</v>
      </c>
    </row>
    <row r="6" spans="1:1" x14ac:dyDescent="0.25">
      <c r="A6" t="s">
        <v>64</v>
      </c>
    </row>
    <row r="7" spans="1:1" x14ac:dyDescent="0.25">
      <c r="A7" s="13" t="s">
        <v>65</v>
      </c>
    </row>
    <row r="8" spans="1:1" x14ac:dyDescent="0.25">
      <c r="A8" t="s">
        <v>66</v>
      </c>
    </row>
    <row r="9" spans="1:1" x14ac:dyDescent="0.25">
      <c r="A9" t="s">
        <v>67</v>
      </c>
    </row>
    <row r="10" spans="1:1" x14ac:dyDescent="0.25">
      <c r="A10" t="s">
        <v>68</v>
      </c>
    </row>
    <row r="11" spans="1:1" x14ac:dyDescent="0.25">
      <c r="A11" t="s">
        <v>69</v>
      </c>
    </row>
    <row r="12" spans="1:1" x14ac:dyDescent="0.25">
      <c r="A12" t="s">
        <v>70</v>
      </c>
    </row>
    <row r="13" spans="1:1" x14ac:dyDescent="0.25">
      <c r="A13" t="s">
        <v>71</v>
      </c>
    </row>
    <row r="14" spans="1:1" x14ac:dyDescent="0.25">
      <c r="A14" t="s">
        <v>72</v>
      </c>
    </row>
    <row r="15" spans="1:1" x14ac:dyDescent="0.25">
      <c r="A15" t="s">
        <v>73</v>
      </c>
    </row>
    <row r="16" spans="1:1" x14ac:dyDescent="0.25">
      <c r="A16" t="s">
        <v>74</v>
      </c>
    </row>
    <row r="17" spans="1:1" x14ac:dyDescent="0.25">
      <c r="A17" t="s">
        <v>75</v>
      </c>
    </row>
    <row r="18" spans="1:1" x14ac:dyDescent="0.25">
      <c r="A18" t="s">
        <v>76</v>
      </c>
    </row>
    <row r="19" spans="1:1" x14ac:dyDescent="0.25">
      <c r="A19" t="s">
        <v>77</v>
      </c>
    </row>
    <row r="20" spans="1:1" x14ac:dyDescent="0.25">
      <c r="A20" t="s">
        <v>78</v>
      </c>
    </row>
    <row r="21" spans="1:1" x14ac:dyDescent="0.25">
      <c r="A21" t="s">
        <v>79</v>
      </c>
    </row>
    <row r="22" spans="1:1" x14ac:dyDescent="0.25">
      <c r="A22" t="s">
        <v>80</v>
      </c>
    </row>
    <row r="23" spans="1:1" x14ac:dyDescent="0.25">
      <c r="A23" t="s">
        <v>81</v>
      </c>
    </row>
    <row r="24" spans="1:1" x14ac:dyDescent="0.25">
      <c r="A24" t="s">
        <v>82</v>
      </c>
    </row>
    <row r="25" spans="1:1" x14ac:dyDescent="0.25">
      <c r="A25" t="s">
        <v>83</v>
      </c>
    </row>
    <row r="26" spans="1:1" x14ac:dyDescent="0.25">
      <c r="A26" t="s">
        <v>84</v>
      </c>
    </row>
    <row r="27" spans="1:1" x14ac:dyDescent="0.25">
      <c r="A27" t="s">
        <v>85</v>
      </c>
    </row>
    <row r="28" spans="1:1" x14ac:dyDescent="0.25">
      <c r="A28" t="s">
        <v>86</v>
      </c>
    </row>
    <row r="29" spans="1:1" x14ac:dyDescent="0.25">
      <c r="A29" t="s">
        <v>87</v>
      </c>
    </row>
    <row r="30" spans="1:1" x14ac:dyDescent="0.25">
      <c r="A30" t="s">
        <v>88</v>
      </c>
    </row>
    <row r="31" spans="1:1" x14ac:dyDescent="0.25">
      <c r="A31" t="s">
        <v>89</v>
      </c>
    </row>
    <row r="32" spans="1:1" x14ac:dyDescent="0.25">
      <c r="A32" t="s">
        <v>90</v>
      </c>
    </row>
    <row r="33" spans="1:1" x14ac:dyDescent="0.25">
      <c r="A33" t="s">
        <v>91</v>
      </c>
    </row>
    <row r="34" spans="1:1" x14ac:dyDescent="0.25">
      <c r="A34" t="s">
        <v>92</v>
      </c>
    </row>
    <row r="35" spans="1:1" x14ac:dyDescent="0.25">
      <c r="A35" t="s">
        <v>93</v>
      </c>
    </row>
    <row r="36" spans="1:1" x14ac:dyDescent="0.25">
      <c r="A36" t="s">
        <v>94</v>
      </c>
    </row>
    <row r="37" spans="1:1" x14ac:dyDescent="0.25">
      <c r="A37" t="s">
        <v>95</v>
      </c>
    </row>
    <row r="38" spans="1:1" x14ac:dyDescent="0.25">
      <c r="A38" t="s">
        <v>96</v>
      </c>
    </row>
    <row r="39" spans="1:1" x14ac:dyDescent="0.25">
      <c r="A39" t="s">
        <v>97</v>
      </c>
    </row>
    <row r="40" spans="1:1" x14ac:dyDescent="0.25">
      <c r="A40" t="s">
        <v>98</v>
      </c>
    </row>
    <row r="41" spans="1:1" x14ac:dyDescent="0.25">
      <c r="A41" t="s">
        <v>99</v>
      </c>
    </row>
    <row r="42" spans="1:1" x14ac:dyDescent="0.25">
      <c r="A42" t="s">
        <v>100</v>
      </c>
    </row>
    <row r="43" spans="1:1" x14ac:dyDescent="0.25">
      <c r="A43" t="s">
        <v>101</v>
      </c>
    </row>
    <row r="44" spans="1:1" x14ac:dyDescent="0.25">
      <c r="A44" t="s">
        <v>102</v>
      </c>
    </row>
    <row r="45" spans="1:1" x14ac:dyDescent="0.25">
      <c r="A45" t="s">
        <v>103</v>
      </c>
    </row>
    <row r="46" spans="1:1" x14ac:dyDescent="0.25">
      <c r="A46" t="s">
        <v>104</v>
      </c>
    </row>
    <row r="47" spans="1:1" x14ac:dyDescent="0.25">
      <c r="A47" t="s">
        <v>105</v>
      </c>
    </row>
    <row r="48" spans="1:1" x14ac:dyDescent="0.25">
      <c r="A48" t="s">
        <v>106</v>
      </c>
    </row>
    <row r="49" spans="1:1" x14ac:dyDescent="0.25">
      <c r="A49" t="s">
        <v>107</v>
      </c>
    </row>
    <row r="50" spans="1:1" x14ac:dyDescent="0.25">
      <c r="A50" t="s">
        <v>108</v>
      </c>
    </row>
    <row r="51" spans="1:1" x14ac:dyDescent="0.25">
      <c r="A51" t="s">
        <v>109</v>
      </c>
    </row>
    <row r="52" spans="1:1" x14ac:dyDescent="0.25">
      <c r="A52" t="s">
        <v>110</v>
      </c>
    </row>
    <row r="53" spans="1:1" x14ac:dyDescent="0.25">
      <c r="A53" t="s">
        <v>111</v>
      </c>
    </row>
    <row r="54" spans="1:1" x14ac:dyDescent="0.25">
      <c r="A54" t="s">
        <v>112</v>
      </c>
    </row>
    <row r="55" spans="1:1" x14ac:dyDescent="0.25">
      <c r="A55" t="s">
        <v>113</v>
      </c>
    </row>
    <row r="56" spans="1:1" x14ac:dyDescent="0.25">
      <c r="A56" t="s">
        <v>114</v>
      </c>
    </row>
    <row r="57" spans="1:1" x14ac:dyDescent="0.25">
      <c r="A57" t="s">
        <v>115</v>
      </c>
    </row>
    <row r="58" spans="1:1" x14ac:dyDescent="0.25">
      <c r="A58" t="s">
        <v>116</v>
      </c>
    </row>
    <row r="59" spans="1:1" x14ac:dyDescent="0.25">
      <c r="A59" t="s">
        <v>117</v>
      </c>
    </row>
    <row r="60" spans="1:1" x14ac:dyDescent="0.25">
      <c r="A60" t="s">
        <v>118</v>
      </c>
    </row>
    <row r="61" spans="1:1" x14ac:dyDescent="0.25">
      <c r="A61" t="s">
        <v>119</v>
      </c>
    </row>
    <row r="62" spans="1:1" x14ac:dyDescent="0.25">
      <c r="A62" t="s">
        <v>120</v>
      </c>
    </row>
    <row r="63" spans="1:1" x14ac:dyDescent="0.25">
      <c r="A63" t="s">
        <v>121</v>
      </c>
    </row>
    <row r="64" spans="1:1" x14ac:dyDescent="0.25">
      <c r="A64" t="s">
        <v>122</v>
      </c>
    </row>
    <row r="65" spans="1:1" x14ac:dyDescent="0.25">
      <c r="A65" t="s">
        <v>123</v>
      </c>
    </row>
    <row r="66" spans="1:1" x14ac:dyDescent="0.25">
      <c r="A66" t="s">
        <v>124</v>
      </c>
    </row>
    <row r="67" spans="1:1" x14ac:dyDescent="0.25">
      <c r="A67" t="s">
        <v>125</v>
      </c>
    </row>
    <row r="68" spans="1:1" x14ac:dyDescent="0.25">
      <c r="A68" t="s">
        <v>126</v>
      </c>
    </row>
    <row r="69" spans="1:1" x14ac:dyDescent="0.25">
      <c r="A69" t="s">
        <v>127</v>
      </c>
    </row>
    <row r="70" spans="1:1" x14ac:dyDescent="0.25">
      <c r="A70" t="s">
        <v>128</v>
      </c>
    </row>
    <row r="71" spans="1:1" x14ac:dyDescent="0.25">
      <c r="A71" t="s">
        <v>129</v>
      </c>
    </row>
    <row r="72" spans="1:1" x14ac:dyDescent="0.25">
      <c r="A72" t="s">
        <v>130</v>
      </c>
    </row>
    <row r="73" spans="1:1" x14ac:dyDescent="0.25">
      <c r="A73" t="s">
        <v>131</v>
      </c>
    </row>
    <row r="74" spans="1:1" x14ac:dyDescent="0.25">
      <c r="A74" t="s">
        <v>132</v>
      </c>
    </row>
    <row r="75" spans="1:1" x14ac:dyDescent="0.25">
      <c r="A75" t="s">
        <v>133</v>
      </c>
    </row>
    <row r="76" spans="1:1" x14ac:dyDescent="0.25">
      <c r="A76" t="s">
        <v>134</v>
      </c>
    </row>
    <row r="77" spans="1:1" x14ac:dyDescent="0.25">
      <c r="A77" t="s">
        <v>135</v>
      </c>
    </row>
    <row r="78" spans="1:1" x14ac:dyDescent="0.25">
      <c r="A78" t="s">
        <v>136</v>
      </c>
    </row>
    <row r="79" spans="1:1" x14ac:dyDescent="0.25">
      <c r="A79" t="s">
        <v>137</v>
      </c>
    </row>
    <row r="80" spans="1:1" x14ac:dyDescent="0.25">
      <c r="A80" t="s">
        <v>138</v>
      </c>
    </row>
    <row r="81" spans="1:1" x14ac:dyDescent="0.25">
      <c r="A81" t="s">
        <v>139</v>
      </c>
    </row>
    <row r="82" spans="1:1" x14ac:dyDescent="0.25">
      <c r="A82" t="s">
        <v>140</v>
      </c>
    </row>
    <row r="83" spans="1:1" x14ac:dyDescent="0.25">
      <c r="A83" t="s">
        <v>141</v>
      </c>
    </row>
    <row r="84" spans="1:1" x14ac:dyDescent="0.25">
      <c r="A84" t="s">
        <v>142</v>
      </c>
    </row>
    <row r="85" spans="1:1" x14ac:dyDescent="0.25">
      <c r="A85" t="s">
        <v>143</v>
      </c>
    </row>
    <row r="86" spans="1:1" x14ac:dyDescent="0.25">
      <c r="A86" t="s">
        <v>144</v>
      </c>
    </row>
    <row r="87" spans="1:1" x14ac:dyDescent="0.25">
      <c r="A87" t="s">
        <v>145</v>
      </c>
    </row>
    <row r="88" spans="1:1" x14ac:dyDescent="0.25">
      <c r="A88" t="s">
        <v>146</v>
      </c>
    </row>
    <row r="89" spans="1:1" x14ac:dyDescent="0.25">
      <c r="A89" t="s">
        <v>147</v>
      </c>
    </row>
    <row r="90" spans="1:1" x14ac:dyDescent="0.25">
      <c r="A90" t="s">
        <v>148</v>
      </c>
    </row>
    <row r="91" spans="1:1" x14ac:dyDescent="0.25">
      <c r="A91" t="s">
        <v>149</v>
      </c>
    </row>
    <row r="92" spans="1:1" x14ac:dyDescent="0.25">
      <c r="A92" t="s">
        <v>150</v>
      </c>
    </row>
    <row r="93" spans="1:1" x14ac:dyDescent="0.25">
      <c r="A93" t="s">
        <v>151</v>
      </c>
    </row>
    <row r="94" spans="1:1" x14ac:dyDescent="0.25">
      <c r="A94" t="s">
        <v>152</v>
      </c>
    </row>
    <row r="95" spans="1:1" x14ac:dyDescent="0.25">
      <c r="A95" t="s">
        <v>153</v>
      </c>
    </row>
    <row r="96" spans="1:1" x14ac:dyDescent="0.25">
      <c r="A96" t="s">
        <v>154</v>
      </c>
    </row>
    <row r="97" spans="1:1" x14ac:dyDescent="0.25">
      <c r="A97" t="s">
        <v>155</v>
      </c>
    </row>
    <row r="98" spans="1:1" x14ac:dyDescent="0.25">
      <c r="A98" t="s">
        <v>156</v>
      </c>
    </row>
    <row r="99" spans="1:1" x14ac:dyDescent="0.25">
      <c r="A99" t="s">
        <v>157</v>
      </c>
    </row>
    <row r="100" spans="1:1" x14ac:dyDescent="0.25">
      <c r="A100" t="s">
        <v>158</v>
      </c>
    </row>
    <row r="101" spans="1:1" x14ac:dyDescent="0.25">
      <c r="A101" t="s">
        <v>159</v>
      </c>
    </row>
    <row r="102" spans="1:1" x14ac:dyDescent="0.25">
      <c r="A102" t="s">
        <v>160</v>
      </c>
    </row>
    <row r="103" spans="1:1" x14ac:dyDescent="0.25">
      <c r="A103" t="s">
        <v>161</v>
      </c>
    </row>
    <row r="104" spans="1:1" x14ac:dyDescent="0.25">
      <c r="A104" t="s">
        <v>162</v>
      </c>
    </row>
    <row r="105" spans="1:1" x14ac:dyDescent="0.25">
      <c r="A105" t="s">
        <v>163</v>
      </c>
    </row>
    <row r="106" spans="1:1" x14ac:dyDescent="0.25">
      <c r="A106" t="s">
        <v>164</v>
      </c>
    </row>
    <row r="107" spans="1:1" x14ac:dyDescent="0.25">
      <c r="A107" t="s">
        <v>165</v>
      </c>
    </row>
    <row r="108" spans="1:1" x14ac:dyDescent="0.25">
      <c r="A108" t="s">
        <v>166</v>
      </c>
    </row>
    <row r="109" spans="1:1" x14ac:dyDescent="0.25">
      <c r="A109" t="s">
        <v>167</v>
      </c>
    </row>
    <row r="110" spans="1:1" x14ac:dyDescent="0.25">
      <c r="A110" t="s">
        <v>168</v>
      </c>
    </row>
    <row r="111" spans="1:1" x14ac:dyDescent="0.25">
      <c r="A111" t="s">
        <v>169</v>
      </c>
    </row>
    <row r="112" spans="1:1" x14ac:dyDescent="0.25">
      <c r="A112" t="s">
        <v>170</v>
      </c>
    </row>
    <row r="113" spans="1:1" x14ac:dyDescent="0.25">
      <c r="A113" t="s">
        <v>171</v>
      </c>
    </row>
    <row r="114" spans="1:1" x14ac:dyDescent="0.25">
      <c r="A114" t="s">
        <v>172</v>
      </c>
    </row>
    <row r="115" spans="1:1" x14ac:dyDescent="0.25">
      <c r="A115" t="s">
        <v>173</v>
      </c>
    </row>
    <row r="116" spans="1:1" x14ac:dyDescent="0.25">
      <c r="A116" t="s">
        <v>174</v>
      </c>
    </row>
    <row r="117" spans="1:1" x14ac:dyDescent="0.25">
      <c r="A117" t="s">
        <v>175</v>
      </c>
    </row>
    <row r="118" spans="1:1" x14ac:dyDescent="0.25">
      <c r="A118" t="s">
        <v>176</v>
      </c>
    </row>
    <row r="119" spans="1:1" x14ac:dyDescent="0.25">
      <c r="A119" t="s">
        <v>177</v>
      </c>
    </row>
    <row r="120" spans="1:1" x14ac:dyDescent="0.25">
      <c r="A120" t="s">
        <v>178</v>
      </c>
    </row>
    <row r="121" spans="1:1" x14ac:dyDescent="0.25">
      <c r="A121" t="s">
        <v>179</v>
      </c>
    </row>
    <row r="122" spans="1:1" x14ac:dyDescent="0.25">
      <c r="A122" t="s">
        <v>180</v>
      </c>
    </row>
    <row r="123" spans="1:1" x14ac:dyDescent="0.25">
      <c r="A123" t="s">
        <v>181</v>
      </c>
    </row>
    <row r="124" spans="1:1" x14ac:dyDescent="0.25">
      <c r="A124" t="s">
        <v>182</v>
      </c>
    </row>
    <row r="125" spans="1:1" x14ac:dyDescent="0.25">
      <c r="A125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LiveData</vt:lpstr>
      <vt:lpstr>helper fields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Sutton</dc:creator>
  <cp:lastModifiedBy>Tony Sutton</cp:lastModifiedBy>
  <dcterms:created xsi:type="dcterms:W3CDTF">2025-10-17T23:45:45Z</dcterms:created>
  <dcterms:modified xsi:type="dcterms:W3CDTF">2025-12-04T04:22:10Z</dcterms:modified>
</cp:coreProperties>
</file>