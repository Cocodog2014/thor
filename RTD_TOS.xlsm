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Thor\"/>
    </mc:Choice>
  </mc:AlternateContent>
  <xr:revisionPtr revIDLastSave="0" documentId="13_ncr:1_{7230E6EC-C6DE-4000-9831-1F111510EEE0}" xr6:coauthVersionLast="47" xr6:coauthVersionMax="47" xr10:uidLastSave="{00000000-0000-0000-0000-000000000000}"/>
  <bookViews>
    <workbookView xWindow="28680" yWindow="-225" windowWidth="29040" windowHeight="15720" xr2:uid="{BCFCB08C-94E0-4947-AA4E-BEF6C0770B8D}"/>
  </bookViews>
  <sheets>
    <sheet name="LiveData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2" i="2" l="1"/>
  <c r="M12" i="2"/>
  <c r="L12" i="2"/>
  <c r="K12" i="2"/>
  <c r="J12" i="2"/>
  <c r="I12" i="2"/>
  <c r="H12" i="2"/>
  <c r="G12" i="2"/>
  <c r="D12" i="2"/>
  <c r="E12" i="2"/>
  <c r="F12" i="2"/>
  <c r="D13" i="2"/>
  <c r="E13" i="2"/>
  <c r="F13" i="2"/>
  <c r="G13" i="2"/>
  <c r="H13" i="2"/>
  <c r="I13" i="2"/>
  <c r="J13" i="2"/>
  <c r="K13" i="2"/>
  <c r="L13" i="2"/>
  <c r="M13" i="2"/>
  <c r="N13" i="2"/>
  <c r="D11" i="2"/>
  <c r="E11" i="2"/>
  <c r="F11" i="2"/>
  <c r="G11" i="2"/>
  <c r="H11" i="2"/>
  <c r="I11" i="2"/>
  <c r="J11" i="2"/>
  <c r="K11" i="2"/>
  <c r="L11" i="2"/>
  <c r="M11" i="2"/>
  <c r="N11" i="2"/>
  <c r="D10" i="2"/>
  <c r="E10" i="2"/>
  <c r="F10" i="2"/>
  <c r="G10" i="2"/>
  <c r="H10" i="2"/>
  <c r="I10" i="2"/>
  <c r="J10" i="2"/>
  <c r="K10" i="2"/>
  <c r="L10" i="2"/>
  <c r="M10" i="2"/>
  <c r="N10" i="2"/>
  <c r="D9" i="2"/>
  <c r="E9" i="2"/>
  <c r="F9" i="2"/>
  <c r="G9" i="2"/>
  <c r="H9" i="2"/>
  <c r="I9" i="2"/>
  <c r="J9" i="2"/>
  <c r="K9" i="2"/>
  <c r="L9" i="2"/>
  <c r="M9" i="2"/>
  <c r="N9" i="2"/>
  <c r="D8" i="2"/>
  <c r="E8" i="2"/>
  <c r="F8" i="2"/>
  <c r="G8" i="2"/>
  <c r="H8" i="2"/>
  <c r="I8" i="2"/>
  <c r="J8" i="2"/>
  <c r="K8" i="2"/>
  <c r="L8" i="2"/>
  <c r="M8" i="2"/>
  <c r="N8" i="2"/>
  <c r="D7" i="2" l="1"/>
  <c r="E7" i="2"/>
  <c r="F7" i="2"/>
  <c r="G7" i="2"/>
  <c r="H7" i="2"/>
  <c r="I7" i="2"/>
  <c r="J7" i="2"/>
  <c r="K7" i="2"/>
  <c r="L7" i="2"/>
  <c r="M7" i="2"/>
  <c r="N7" i="2"/>
  <c r="D6" i="2" l="1"/>
  <c r="E6" i="2"/>
  <c r="F6" i="2"/>
  <c r="G6" i="2"/>
  <c r="H6" i="2"/>
  <c r="I6" i="2"/>
  <c r="J6" i="2"/>
  <c r="K6" i="2"/>
  <c r="L6" i="2"/>
  <c r="M6" i="2"/>
  <c r="N6" i="2"/>
  <c r="D5" i="2"/>
  <c r="E5" i="2"/>
  <c r="F5" i="2"/>
  <c r="G5" i="2"/>
  <c r="H5" i="2"/>
  <c r="I5" i="2"/>
  <c r="J5" i="2"/>
  <c r="K5" i="2"/>
  <c r="L5" i="2"/>
  <c r="M5" i="2"/>
  <c r="N5" i="2"/>
  <c r="D4" i="2"/>
  <c r="E4" i="2"/>
  <c r="F4" i="2"/>
  <c r="G4" i="2"/>
  <c r="H4" i="2"/>
  <c r="I4" i="2"/>
  <c r="J4" i="2"/>
  <c r="K4" i="2"/>
  <c r="L4" i="2"/>
  <c r="M4" i="2"/>
  <c r="N4" i="2"/>
  <c r="D3" i="2"/>
  <c r="E3" i="2"/>
  <c r="F3" i="2"/>
  <c r="G3" i="2"/>
  <c r="H3" i="2"/>
  <c r="I3" i="2"/>
  <c r="J3" i="2"/>
  <c r="K3" i="2"/>
  <c r="L3" i="2"/>
  <c r="M3" i="2"/>
  <c r="N3" i="2"/>
</calcChain>
</file>

<file path=xl/sharedStrings.xml><?xml version="1.0" encoding="utf-8"?>
<sst xmlns="http://schemas.openxmlformats.org/spreadsheetml/2006/main" count="48" uniqueCount="39">
  <si>
    <t>Type</t>
  </si>
  <si>
    <t>Symbol</t>
  </si>
  <si>
    <t>Description</t>
  </si>
  <si>
    <t>Close</t>
  </si>
  <si>
    <t>Open</t>
  </si>
  <si>
    <t>NetChange</t>
  </si>
  <si>
    <t>High</t>
  </si>
  <si>
    <t>Low</t>
  </si>
  <si>
    <t>Volume</t>
  </si>
  <si>
    <t>Bid</t>
  </si>
  <si>
    <t>Last</t>
  </si>
  <si>
    <t>Ask</t>
  </si>
  <si>
    <t>BidSize</t>
  </si>
  <si>
    <t>AskSize</t>
  </si>
  <si>
    <t>Tip: Alt+F8 ? AddRTDRow_FromPrompt</t>
  </si>
  <si>
    <t>Futures</t>
  </si>
  <si>
    <t>YM</t>
  </si>
  <si>
    <t>E-mini Dow Jones</t>
  </si>
  <si>
    <t>ES</t>
  </si>
  <si>
    <t>E-mini S&amp;P 500</t>
  </si>
  <si>
    <t>NQ</t>
  </si>
  <si>
    <t>E-mini Nasdaq 100</t>
  </si>
  <si>
    <t>Unknown Symbol</t>
  </si>
  <si>
    <t>CL</t>
  </si>
  <si>
    <t>Crude Oil</t>
  </si>
  <si>
    <t>RTY</t>
  </si>
  <si>
    <t>Russle</t>
  </si>
  <si>
    <t>SI</t>
  </si>
  <si>
    <t>Silver</t>
  </si>
  <si>
    <t>HG</t>
  </si>
  <si>
    <t>Copper</t>
  </si>
  <si>
    <t>GC</t>
  </si>
  <si>
    <t>Gold</t>
  </si>
  <si>
    <t>VX</t>
  </si>
  <si>
    <t>Vix</t>
  </si>
  <si>
    <t>$DXY</t>
  </si>
  <si>
    <t>ZB</t>
  </si>
  <si>
    <t>Dollar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</si>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</sst>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i/>
      <sz val="11"/>
      <color rgb="FF0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E6E6E6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</v>
        <stp/>
        <stp>ASK_SIZE</stp>
        <stp>/RTY:XCME</stp>
        <tr r="N6" s="2"/>
      </tp>
      <tp>
        <v>1</v>
        <stp/>
        <stp>BID_SIZE</stp>
        <stp>/RTY:XCME</stp>
        <tr r="M6" s="2"/>
      </tp>
      <tp t="s">
        <v/>
        <stp/>
        <stp>TOTAL_VOLUME</stp>
        <stp>/$DXY</stp>
        <tr r="I12" s="2"/>
      </tp>
      <tp t="s">
        <v/>
        <stp/>
        <stp>OPEN</stp>
        <stp>/$DXY</stp>
        <tr r="E12" s="2"/>
      </tp>
      <tp>
        <v>2464.4</v>
        <stp/>
        <stp>CLOSE</stp>
        <stp>/RTY:XCME</stp>
        <tr r="D6" s="2"/>
      </tp>
      <tp t="s">
        <v/>
        <stp/>
        <stp>HIGH</stp>
        <stp>/$DXY</stp>
        <tr r="G12" s="2"/>
      </tp>
      <tp t="s">
        <v/>
        <stp/>
        <stp>LAST</stp>
        <stp>/$DXY</stp>
        <tr r="K12" s="2"/>
      </tp>
      <tp t="s">
        <v/>
        <stp/>
        <stp>NET_CHANGE</stp>
        <stp>/$DXY</stp>
        <tr r="F12" s="2"/>
      </tp>
      <tp t="b">
        <v>0</v>
        <stp/>
        <stp>ASK_SIZE</stp>
        <stp>/ZB:XCBT</stp>
        <tr r="N13" s="2"/>
      </tp>
      <tp t="b">
        <v>0</v>
        <stp/>
        <stp>BID_SIZE</stp>
        <stp>/VX:XCBF</stp>
        <tr r="M11" s="2"/>
      </tp>
      <tp>
        <v>1</v>
        <stp/>
        <stp>ASK_SIZE</stp>
        <stp>/YM:XCBT</stp>
        <tr r="N3" s="2"/>
      </tp>
      <tp t="s">
        <v/>
        <stp/>
        <stp>ASK</stp>
        <stp>/$DXY</stp>
        <tr r="L12" s="2"/>
      </tp>
      <tp t="s">
        <v/>
        <stp/>
        <stp>BID_SIZE</stp>
        <stp>/HG:EXEC</stp>
        <tr r="M9" s="2"/>
      </tp>
      <tp t="b">
        <v>0</v>
        <stp/>
        <stp>BID_SIZE</stp>
        <stp>/SI:XCEC</stp>
        <tr r="M8" s="2"/>
      </tp>
      <tp t="s">
        <v/>
        <stp/>
        <stp>ASK_SIZE</stp>
        <stp>/HG:EXEC</stp>
        <tr r="N9" s="2"/>
      </tp>
      <tp t="b">
        <v>0</v>
        <stp/>
        <stp>ASK_SIZE</stp>
        <stp>/SI:XCEC</stp>
        <tr r="N8" s="2"/>
      </tp>
      <tp t="s">
        <v/>
        <stp/>
        <stp>BID</stp>
        <stp>/$DXY</stp>
        <tr r="J12" s="2"/>
      </tp>
      <tp t="b">
        <v>0</v>
        <stp/>
        <stp>ASK_SIZE</stp>
        <stp>/VX:XCBF</stp>
        <tr r="N11" s="2"/>
      </tp>
      <tp>
        <v>1</v>
        <stp/>
        <stp>BID_SIZE</stp>
        <stp>/YM:XCBT</stp>
        <tr r="M3" s="2"/>
      </tp>
      <tp t="b">
        <v>0</v>
        <stp/>
        <stp>BID_SIZE</stp>
        <stp>/ZB:XCBT</stp>
        <tr r="M13" s="2"/>
      </tp>
      <tp>
        <v>4</v>
        <stp/>
        <stp>BID_SIZE</stp>
        <stp>/ES:XCME</stp>
        <tr r="M4" s="2"/>
      </tp>
      <tp t="b">
        <v>0</v>
        <stp/>
        <stp>BID_SIZE</stp>
        <stp>/GC:XCEC</stp>
        <tr r="M10" s="2"/>
      </tp>
      <tp t="s">
        <v/>
        <stp/>
        <stp>ASK_SIZE</stp>
        <stp>/CL:XNYM</stp>
        <tr r="N7" s="2"/>
      </tp>
      <tp>
        <v>1</v>
        <stp/>
        <stp>ASK_SIZE</stp>
        <stp>/NQ:XCME</stp>
        <tr r="N5" s="2"/>
      </tp>
      <tp t="s">
        <v/>
        <stp/>
        <stp>BID_SIZE</stp>
        <stp>/CL:XNYM</stp>
        <tr r="M7" s="2"/>
      </tp>
      <tp>
        <v>1</v>
        <stp/>
        <stp>BID_SIZE</stp>
        <stp>/NQ:XCME</stp>
        <tr r="M5" s="2"/>
      </tp>
      <tp t="s">
        <v/>
        <stp/>
        <stp>LOW</stp>
        <stp>/$DXY</stp>
        <tr r="H12" s="2"/>
      </tp>
      <tp t="b">
        <v>0</v>
        <stp/>
        <stp>ASK_SIZE</stp>
        <stp>/GC:XCEC</stp>
        <tr r="N10" s="2"/>
      </tp>
      <tp>
        <v>2</v>
        <stp/>
        <stp>ASK_SIZE</stp>
        <stp>/ES:XCME</stp>
        <tr r="N4" s="2"/>
      </tp>
      <tp t="s">
        <v/>
        <stp/>
        <stp>CLOSE</stp>
        <stp>/SI:XCEC</stp>
        <tr r="D8" s="2"/>
      </tp>
      <tp t="s">
        <v/>
        <stp/>
        <stp>CLOSE</stp>
        <stp>/HG:EXEC</stp>
        <tr r="D9" s="2"/>
      </tp>
      <tp t="b">
        <v>0</v>
        <stp/>
        <stp>ASK</stp>
        <stp>/GC:XCEC</stp>
        <tr r="L10" s="2"/>
      </tp>
      <tp>
        <v>2469.6</v>
        <stp/>
        <stp>LAST</stp>
        <stp>/RTY:XCME</stp>
        <tr r="K6" s="2"/>
      </tp>
      <tp t="b">
        <v>0</v>
        <stp/>
        <stp>NET_CHANGE</stp>
        <stp>/SI:XCEC</stp>
        <tr r="F8" s="2"/>
      </tp>
      <tp t="s">
        <v/>
        <stp/>
        <stp>NET_CHANGE</stp>
        <stp>/HG:EXEC</stp>
        <tr r="F9" s="2"/>
      </tp>
      <tp t="b">
        <v>0</v>
        <stp/>
        <stp>LOW</stp>
        <stp>/ZB:XCBT</stp>
        <tr r="H13" s="2"/>
      </tp>
      <tp>
        <v>45605</v>
        <stp/>
        <stp>LOW</stp>
        <stp>/YM:XCBT</stp>
        <tr r="H3" s="2"/>
      </tp>
      <tp>
        <v>6711.75</v>
        <stp/>
        <stp>ASK</stp>
        <stp>/ES:XCME</stp>
        <tr r="L4" s="2"/>
      </tp>
      <tp t="b">
        <v>0</v>
        <stp/>
        <stp>NET_CHANGE</stp>
        <stp>/VX:XCBF</stp>
        <tr r="F11" s="2"/>
      </tp>
      <tp>
        <v>46425</v>
        <stp/>
        <stp>BID</stp>
        <stp>/YM:XCBT</stp>
        <tr r="J3" s="2"/>
      </tp>
      <tp t="s">
        <v/>
        <stp/>
        <stp>CLOSE</stp>
        <stp>/VX:XCBF</stp>
        <tr r="D11" s="2"/>
      </tp>
      <tp t="b">
        <v>0</v>
        <stp/>
        <stp>BID</stp>
        <stp>/ZB:XCBT</stp>
        <tr r="J13" s="2"/>
      </tp>
      <tp>
        <v>-12.1</v>
        <stp/>
        <stp>NET_CHANGE</stp>
        <stp>/RTY:XCME</stp>
        <tr r="F6" s="2"/>
      </tp>
      <tp t="b">
        <v>0</v>
        <stp/>
        <stp>NET_CHANGE</stp>
        <stp>/ZB:XCBT</stp>
        <tr r="F13" s="2"/>
      </tp>
      <tp t="b">
        <v>0</v>
        <stp/>
        <stp>LOW</stp>
        <stp>/SI:XCEC</stp>
        <tr r="H8" s="2"/>
      </tp>
      <tp t="s">
        <v/>
        <stp/>
        <stp>LOW</stp>
        <stp>/HG:EXEC</stp>
        <tr r="H9" s="2"/>
      </tp>
      <tp t="s">
        <v/>
        <stp/>
        <stp>CLOSE</stp>
        <stp>/ZB:XCBT</stp>
        <tr r="D13" s="2"/>
      </tp>
      <tp t="s">
        <v/>
        <stp/>
        <stp>ASK</stp>
        <stp>/CL:XNYM</stp>
        <tr r="L7" s="2"/>
      </tp>
      <tp>
        <v>25048</v>
        <stp/>
        <stp>ASK</stp>
        <stp>/NQ:XCME</stp>
        <tr r="L5" s="2"/>
      </tp>
      <tp>
        <v>46381</v>
        <stp/>
        <stp>CLOSE</stp>
        <stp>/YM:XCBT</stp>
        <tr r="D3" s="2"/>
      </tp>
      <tp>
        <v>269</v>
        <stp/>
        <stp>NET_CHANGE</stp>
        <stp>/YM:XCBT</stp>
        <tr r="F3" s="2"/>
      </tp>
      <tp t="b">
        <v>0</v>
        <stp/>
        <stp>BID</stp>
        <stp>/VX:XCBF</stp>
        <tr r="J11" s="2"/>
      </tp>
      <tp t="b">
        <v>0</v>
        <stp/>
        <stp>LOW</stp>
        <stp>/VX:XCBF</stp>
        <tr r="H11" s="2"/>
      </tp>
      <tp t="b">
        <v>0</v>
        <stp/>
        <stp>BID</stp>
        <stp>/SI:XCEC</stp>
        <tr r="J8" s="2"/>
      </tp>
      <tp t="s">
        <v/>
        <stp/>
        <stp>BID</stp>
        <stp>/HG:EXEC</stp>
        <tr r="J9" s="2"/>
      </tp>
      <tp t="s">
        <v/>
        <stp/>
        <stp>ASK_SIZE</stp>
        <stp>/$DXY</stp>
        <tr r="N12" s="2"/>
      </tp>
      <tp t="s">
        <v/>
        <stp/>
        <stp>BID_SIZE</stp>
        <stp>/$DXY</stp>
        <tr r="M12" s="2"/>
      </tp>
      <tp t="b">
        <v>0</v>
        <stp/>
        <stp>ASK</stp>
        <stp>/VX:XCBF</stp>
        <tr r="L11" s="2"/>
      </tp>
      <tp>
        <v>25006</v>
        <stp/>
        <stp>BID</stp>
        <stp>/NQ:XCME</stp>
        <tr r="J5" s="2"/>
      </tp>
      <tp t="s">
        <v/>
        <stp/>
        <stp>BID</stp>
        <stp>/CL:XNYM</stp>
        <tr r="J7" s="2"/>
      </tp>
      <tp t="s">
        <v/>
        <stp/>
        <stp>CLOSE</stp>
        <stp>/GC:XCEC</stp>
        <tr r="D10" s="2"/>
      </tp>
      <tp t="s">
        <v/>
        <stp/>
        <stp>ASK</stp>
        <stp>/HG:EXEC</stp>
        <tr r="L9" s="2"/>
      </tp>
      <tp t="b">
        <v>0</v>
        <stp/>
        <stp>ASK</stp>
        <stp>/SI:XCEC</stp>
        <tr r="L8" s="2"/>
      </tp>
      <tp t="b">
        <v>0</v>
        <stp/>
        <stp>NET_CHANGE</stp>
        <stp>/GC:XCEC</stp>
        <tr r="F10" s="2"/>
      </tp>
      <tp>
        <v>24410</v>
        <stp/>
        <stp>LOW</stp>
        <stp>/NQ:XCME</stp>
        <tr r="H5" s="2"/>
      </tp>
      <tp t="s">
        <v/>
        <stp/>
        <stp>LOW</stp>
        <stp>/CL:XNYM</stp>
        <tr r="H7" s="2"/>
      </tp>
      <tp>
        <v>6702.5</v>
        <stp/>
        <stp>CLOSE</stp>
        <stp>/ES:XCME</stp>
        <tr r="D4" s="2"/>
      </tp>
      <tp t="s">
        <v/>
        <stp/>
        <stp>TOTAL_VOLUME</stp>
        <stp>/RTY:XCME</stp>
        <tr r="I6" s="2"/>
      </tp>
      <tp>
        <v>42.25</v>
        <stp/>
        <stp>NET_CHANGE</stp>
        <stp>/ES:XCME</stp>
        <tr r="F4" s="2"/>
      </tp>
      <tp>
        <v>6710.75</v>
        <stp/>
        <stp>BID</stp>
        <stp>/ES:XCME</stp>
        <tr r="J4" s="2"/>
      </tp>
      <tp t="s">
        <v/>
        <stp/>
        <stp>CLOSE</stp>
        <stp>/$DXY</stp>
        <tr r="D12" s="2"/>
      </tp>
      <tp t="b">
        <v>0</v>
        <stp/>
        <stp>BID</stp>
        <stp>/GC:XCEC</stp>
        <tr r="J10" s="2"/>
      </tp>
      <tp>
        <v>2479.4</v>
        <stp/>
        <stp>OPEN</stp>
        <stp>/RTY:XCME</stp>
        <tr r="E6" s="2"/>
      </tp>
      <tp>
        <v>202.25</v>
        <stp/>
        <stp>NET_CHANGE</stp>
        <stp>/NQ:XCME</stp>
        <tr r="F5" s="2"/>
      </tp>
      <tp t="s">
        <v/>
        <stp/>
        <stp>NET_CHANGE</stp>
        <stp>/CL:XNYM</stp>
        <tr r="F7" s="2"/>
      </tp>
      <tp t="b">
        <v>0</v>
        <stp/>
        <stp>LOW</stp>
        <stp>/GC:XCEC</stp>
        <tr r="H10" s="2"/>
      </tp>
      <tp>
        <v>24986.5</v>
        <stp/>
        <stp>CLOSE</stp>
        <stp>/NQ:XCME</stp>
        <tr r="D5" s="2"/>
      </tp>
      <tp t="s">
        <v/>
        <stp/>
        <stp>CLOSE</stp>
        <stp>/CL:XNYM</stp>
        <tr r="D7" s="2"/>
      </tp>
      <tp>
        <v>2484.3000000000002</v>
        <stp/>
        <stp>HIGH</stp>
        <stp>/RTY:XCME</stp>
        <tr r="G6" s="2"/>
      </tp>
      <tp t="b">
        <v>0</v>
        <stp/>
        <stp>ASK</stp>
        <stp>/ZB:XCBT</stp>
        <tr r="L13" s="2"/>
      </tp>
      <tp>
        <v>6571.25</v>
        <stp/>
        <stp>LOW</stp>
        <stp>/ES:XCME</stp>
        <tr r="H4" s="2"/>
      </tp>
      <tp>
        <v>46429</v>
        <stp/>
        <stp>ASK</stp>
        <stp>/YM:XCBT</stp>
        <tr r="L3" s="2"/>
      </tp>
      <tp>
        <v>46429</v>
        <stp/>
        <stp>LAST</stp>
        <stp>/YM:XCBT</stp>
        <tr r="K3" s="2"/>
      </tp>
      <tp t="s">
        <v>N/A</v>
        <stp/>
        <stp>TOTAL_VOLUME</stp>
        <stp>/ES:XCME</stp>
        <tr r="I4" s="2"/>
      </tp>
      <tp>
        <v>24793.75</v>
        <stp/>
        <stp>OPEN</stp>
        <stp>/NQ:XCME</stp>
        <tr r="E5" s="2"/>
      </tp>
      <tp t="s">
        <v/>
        <stp/>
        <stp>OPEN</stp>
        <stp>/CL:XNYM</stp>
        <tr r="E7" s="2"/>
      </tp>
      <tp t="s">
        <v/>
        <stp/>
        <stp>TOTAL_VOLUME</stp>
        <stp>/GC:XCEC</stp>
        <tr r="I10" s="2"/>
      </tp>
      <tp>
        <v>25055.75</v>
        <stp/>
        <stp>HIGH</stp>
        <stp>/NQ:XCME</stp>
        <tr r="G5" s="2"/>
      </tp>
      <tp t="b">
        <v>0</v>
        <stp/>
        <stp>LAST</stp>
        <stp>/ZB:XCBT</stp>
        <tr r="K13" s="2"/>
      </tp>
      <tp t="s">
        <v/>
        <stp/>
        <stp>HIGH</stp>
        <stp>/CL:XNYM</stp>
        <tr r="G7" s="2"/>
      </tp>
      <tp t="b">
        <v>0</v>
        <stp/>
        <stp>OPEN</stp>
        <stp>/GC:XCEC</stp>
        <tr r="E10" s="2"/>
      </tp>
      <tp>
        <v>6718</v>
        <stp/>
        <stp>HIGH</stp>
        <stp>/ES:XCME</stp>
        <tr r="G4" s="2"/>
      </tp>
      <tp>
        <v>2430.4</v>
        <stp/>
        <stp>LOW</stp>
        <stp>/RTY:XCME</stp>
        <tr r="H6" s="2"/>
      </tp>
      <tp t="b">
        <v>0</v>
        <stp/>
        <stp>HIGH</stp>
        <stp>/GC:XCEC</stp>
        <tr r="G10" s="2"/>
      </tp>
      <tp>
        <v>6659.25</v>
        <stp/>
        <stp>OPEN</stp>
        <stp>/ES:XCME</stp>
        <tr r="E4" s="2"/>
      </tp>
      <tp t="s">
        <v/>
        <stp/>
        <stp>LAST</stp>
        <stp>/HG:EXEC</stp>
        <tr r="K9" s="2"/>
      </tp>
      <tp t="b">
        <v>0</v>
        <stp/>
        <stp>LAST</stp>
        <stp>/SI:XCEC</stp>
        <tr r="K8" s="2"/>
      </tp>
      <tp t="s">
        <v/>
        <stp/>
        <stp>TOTAL_VOLUME</stp>
        <stp>/CL:XNYM</stp>
        <tr r="I7" s="2"/>
      </tp>
      <tp t="s">
        <v>N/A</v>
        <stp/>
        <stp>TOTAL_VOLUME</stp>
        <stp>/NQ:XCME</stp>
        <tr r="I5" s="2"/>
      </tp>
      <tp t="b">
        <v>0</v>
        <stp/>
        <stp>LAST</stp>
        <stp>/VX:XCBF</stp>
        <tr r="K11" s="2"/>
      </tp>
      <tp t="s">
        <v/>
        <stp/>
        <stp>TOTAL_VOLUME</stp>
        <stp>/VX:XCBF</stp>
        <tr r="I11" s="2"/>
      </tp>
      <tp>
        <v>46518</v>
        <stp/>
        <stp>HIGH</stp>
        <stp>/YM:XCBT</stp>
        <tr r="G3" s="2"/>
      </tp>
      <tp>
        <v>2469.8000000000002</v>
        <stp/>
        <stp>ASK</stp>
        <stp>/RTY:XCME</stp>
        <tr r="L6" s="2"/>
      </tp>
      <tp t="b">
        <v>0</v>
        <stp/>
        <stp>OPEN</stp>
        <stp>/ZB:XCBT</stp>
        <tr r="E13" s="2"/>
      </tp>
      <tp>
        <v>46126</v>
        <stp/>
        <stp>OPEN</stp>
        <stp>/YM:XCBT</stp>
        <tr r="E3" s="2"/>
      </tp>
      <tp t="s">
        <v/>
        <stp/>
        <stp>TOTAL_VOLUME</stp>
        <stp>/HG:EXEC</stp>
        <tr r="I9" s="2"/>
      </tp>
      <tp t="s">
        <v/>
        <stp/>
        <stp>TOTAL_VOLUME</stp>
        <stp>/SI:XCEC</stp>
        <tr r="I8" s="2"/>
      </tp>
      <tp t="s">
        <v/>
        <stp/>
        <stp>LAST</stp>
        <stp>/CL:XNYM</stp>
        <tr r="K7" s="2"/>
      </tp>
      <tp>
        <v>25033.5</v>
        <stp/>
        <stp>LAST</stp>
        <stp>/NQ:XCME</stp>
        <tr r="K5" s="2"/>
      </tp>
      <tp t="b">
        <v>0</v>
        <stp/>
        <stp>HIGH</stp>
        <stp>/ZB:XCBT</stp>
        <tr r="G13" s="2"/>
      </tp>
      <tp t="b">
        <v>0</v>
        <stp/>
        <stp>OPEN</stp>
        <stp>/VX:XCBF</stp>
        <tr r="E11" s="2"/>
      </tp>
      <tp>
        <v>2469.4</v>
        <stp/>
        <stp>BID</stp>
        <stp>/RTY:XCME</stp>
        <tr r="J6" s="2"/>
      </tp>
      <tp t="b">
        <v>0</v>
        <stp/>
        <stp>HIGH</stp>
        <stp>/VX:XCBF</stp>
        <tr r="G11" s="2"/>
      </tp>
      <tp t="b">
        <v>0</v>
        <stp/>
        <stp>OPEN</stp>
        <stp>/SI:XCEC</stp>
        <tr r="E8" s="2"/>
      </tp>
      <tp>
        <v>6711</v>
        <stp/>
        <stp>LAST</stp>
        <stp>/ES:XCME</stp>
        <tr r="K4" s="2"/>
      </tp>
      <tp t="s">
        <v/>
        <stp/>
        <stp>OPEN</stp>
        <stp>/HG:EXEC</stp>
        <tr r="E9" s="2"/>
      </tp>
      <tp t="s">
        <v>N/A</v>
        <stp/>
        <stp>TOTAL_VOLUME</stp>
        <stp>/YM:XCBT</stp>
        <tr r="I3" s="2"/>
      </tp>
      <tp t="b">
        <v>0</v>
        <stp/>
        <stp>HIGH</stp>
        <stp>/SI:XCEC</stp>
        <tr r="G8" s="2"/>
      </tp>
      <tp t="s">
        <v/>
        <stp/>
        <stp>HIGH</stp>
        <stp>/HG:EXEC</stp>
        <tr r="G9" s="2"/>
      </tp>
      <tp t="b">
        <v>0</v>
        <stp/>
        <stp>LAST</stp>
        <stp>/GC:XCEC</stp>
        <tr r="K10" s="2"/>
      </tp>
      <tp t="s">
        <v/>
        <stp/>
        <stp>TOTAL_VOLUME</stp>
        <stp>/ZB:XCBT</stp>
        <tr r="I13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57150</xdr:rowOff>
        </xdr:from>
        <xdr:to>
          <xdr:col>16</xdr:col>
          <xdr:colOff>66675</xdr:colOff>
          <xdr:row>2</xdr:row>
          <xdr:rowOff>171450</xdr:rowOff>
        </xdr:to>
        <xdr:sp macro="" textlink="">
          <xdr:nvSpPr>
            <xdr:cNvPr id="1032" name="btnAddRTD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263A222B-CBFC-1328-86F7-1BB8D69A24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RTD Symbol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23A76E-63E9-4BB6-9AAE-1241B5FD37F5}" name="tblLiveData" displayName="tblLiveData" ref="A1:N13" totalsRowShown="0" headerRowDxfId="0">
  <autoFilter ref="A1:N13" xr:uid="{DF23A76E-63E9-4BB6-9AAE-1241B5FD37F5}"/>
  <tableColumns count="14">
    <tableColumn id="1" xr3:uid="{5E7E7D26-100F-4A3D-A6A9-F57E8C271516}" name="Type"/>
    <tableColumn id="2" xr3:uid="{785401A8-F735-42F9-9023-2B646BC4D363}" name="Symbol"/>
    <tableColumn id="3" xr3:uid="{225077D7-B54D-4AF4-9BEB-E8DCCF2967C9}" name="Description"/>
    <tableColumn id="4" xr3:uid="{AB348E9A-FA4B-45EA-A5A2-6A59D4B56DE2}" name="Close"/>
    <tableColumn id="5" xr3:uid="{8EA2CFEB-9C33-40C5-9BB6-6B4DAF488C4B}" name="Open"/>
    <tableColumn id="6" xr3:uid="{E38F0B9C-62D2-4F1D-B9D3-4DBCAAFE8885}" name="NetChange"/>
    <tableColumn id="7" xr3:uid="{179971C0-3FA1-4E10-A6C1-E6E57A8895C4}" name="High"/>
    <tableColumn id="8" xr3:uid="{DAA02DE4-BC52-4E9A-AB82-8F4CAB510367}" name="Low"/>
    <tableColumn id="9" xr3:uid="{9FDB4A4C-40B7-4310-A308-8D54C754BF94}" name="Volume"/>
    <tableColumn id="10" xr3:uid="{07E8C959-F9E4-44F9-A10D-135F4A20F09E}" name="Bid"/>
    <tableColumn id="11" xr3:uid="{4B601DE9-48BD-4A44-B135-59C37DE0F52C}" name="Last"/>
    <tableColumn id="12" xr3:uid="{B1F20E2E-F46E-4DD1-8F01-A9D2A4ED23D2}" name="Ask"/>
    <tableColumn id="13" xr3:uid="{DF40205A-0F95-4F2A-80C5-CD30C9672D2E}" name="BidSize"/>
    <tableColumn id="14" xr3:uid="{AD9FBD58-EFEC-4EDD-8E30-486FC985AB94}" name="AskSiz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DF5D7-07A1-4C3C-AA2B-D0A2FF7DEACC}">
  <sheetPr codeName="Sheet2"/>
  <dimension ref="A1:Q13"/>
  <sheetViews>
    <sheetView tabSelected="1" workbookViewId="0">
      <pane ySplit="1" topLeftCell="A2" activePane="bottomLeft" state="frozen"/>
      <selection pane="bottomLeft" activeCell="B21" sqref="B21"/>
    </sheetView>
  </sheetViews>
  <sheetFormatPr defaultRowHeight="15" x14ac:dyDescent="0.25"/>
  <cols>
    <col min="1" max="3" width="14.7109375" customWidth="1"/>
    <col min="4" max="15" width="12.7109375" customWidth="1"/>
  </cols>
  <sheetData>
    <row r="1" spans="1:17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Q1" s="2" t="s">
        <v>14</v>
      </c>
    </row>
    <row r="3" spans="1:17" x14ac:dyDescent="0.25">
      <c r="A3" t="s">
        <v>15</v>
      </c>
      <c r="B3" t="s">
        <v>16</v>
      </c>
      <c r="C3" t="s">
        <v>17</v>
      </c>
      <c r="D3">
        <f>RTD("tos.rtd","","CLOSE","/YM:XCBT")</f>
        <v>46381</v>
      </c>
      <c r="E3">
        <f>RTD("tos.rtd","","OPEN","/YM:XCBT")</f>
        <v>46126</v>
      </c>
      <c r="F3">
        <f>RTD("tos.rtd","","NET_CHANGE","/YM:XCBT")</f>
        <v>269</v>
      </c>
      <c r="G3">
        <f>RTD("tos.rtd","","HIGH","/YM:XCBT")</f>
        <v>46518</v>
      </c>
      <c r="H3">
        <f>RTD("tos.rtd","","LOW","/YM:XCBT")</f>
        <v>45605</v>
      </c>
      <c r="I3" t="str">
        <f>RTD("tos.rtd","","TOTAL_VOLUME","/YM:XCBT")</f>
        <v>N/A</v>
      </c>
      <c r="J3">
        <f>RTD("tos.rtd","","BID","/YM:XCBT")</f>
        <v>46425</v>
      </c>
      <c r="K3">
        <f>RTD("tos.rtd","","LAST","/YM:XCBT")</f>
        <v>46429</v>
      </c>
      <c r="L3">
        <f>RTD("tos.rtd","","ASK","/YM:XCBT")</f>
        <v>46429</v>
      </c>
      <c r="M3">
        <f>RTD("tos.rtd","","BID_SIZE","/YM:XCBT")</f>
        <v>1</v>
      </c>
      <c r="N3">
        <f>RTD("tos.rtd","","ASK_SIZE","/YM:XCBT")</f>
        <v>1</v>
      </c>
    </row>
    <row r="4" spans="1:17" x14ac:dyDescent="0.25">
      <c r="A4" t="s">
        <v>15</v>
      </c>
      <c r="B4" t="s">
        <v>18</v>
      </c>
      <c r="C4" t="s">
        <v>19</v>
      </c>
      <c r="D4">
        <f>RTD("tos.rtd","","CLOSE","/ES:XCME")</f>
        <v>6702.5</v>
      </c>
      <c r="E4">
        <f>RTD("tos.rtd","","OPEN","/ES:XCME")</f>
        <v>6659.25</v>
      </c>
      <c r="F4">
        <f>RTD("tos.rtd","","NET_CHANGE","/ES:XCME")</f>
        <v>42.25</v>
      </c>
      <c r="G4">
        <f>RTD("tos.rtd","","HIGH","/ES:XCME")</f>
        <v>6718</v>
      </c>
      <c r="H4">
        <f>RTD("tos.rtd","","LOW","/ES:XCME")</f>
        <v>6571.25</v>
      </c>
      <c r="I4" t="str">
        <f>RTD("tos.rtd","","TOTAL_VOLUME","/ES:XCME")</f>
        <v>N/A</v>
      </c>
      <c r="J4">
        <f>RTD("tos.rtd","","BID","/ES:XCME")</f>
        <v>6710.75</v>
      </c>
      <c r="K4">
        <f>RTD("tos.rtd","","LAST","/ES:XCME")</f>
        <v>6711</v>
      </c>
      <c r="L4">
        <f>RTD("tos.rtd","","ASK","/ES:XCME")</f>
        <v>6711.75</v>
      </c>
      <c r="M4">
        <f>RTD("tos.rtd","","BID_SIZE","/ES:XCME")</f>
        <v>4</v>
      </c>
      <c r="N4">
        <f>RTD("tos.rtd","","ASK_SIZE","/ES:XCME")</f>
        <v>2</v>
      </c>
    </row>
    <row r="5" spans="1:17" x14ac:dyDescent="0.25">
      <c r="A5" t="s">
        <v>15</v>
      </c>
      <c r="B5" t="s">
        <v>20</v>
      </c>
      <c r="C5" t="s">
        <v>21</v>
      </c>
      <c r="D5">
        <f>RTD("tos.rtd","","CLOSE","/NQ:XCME")</f>
        <v>24986.5</v>
      </c>
      <c r="E5">
        <f>RTD("tos.rtd","","OPEN","/NQ:XCME")</f>
        <v>24793.75</v>
      </c>
      <c r="F5">
        <f>RTD("tos.rtd","","NET_CHANGE","/NQ:XCME")</f>
        <v>202.25</v>
      </c>
      <c r="G5">
        <f>RTD("tos.rtd","","HIGH","/NQ:XCME")</f>
        <v>25055.75</v>
      </c>
      <c r="H5">
        <f>RTD("tos.rtd","","LOW","/NQ:XCME")</f>
        <v>24410</v>
      </c>
      <c r="I5" t="str">
        <f>RTD("tos.rtd","","TOTAL_VOLUME","/NQ:XCME")</f>
        <v>N/A</v>
      </c>
      <c r="J5">
        <f>RTD("tos.rtd","","BID","/NQ:XCME")</f>
        <v>25006</v>
      </c>
      <c r="K5">
        <f>RTD("tos.rtd","","LAST","/NQ:XCME")</f>
        <v>25033.5</v>
      </c>
      <c r="L5">
        <f>RTD("tos.rtd","","ASK","/NQ:XCME")</f>
        <v>25048</v>
      </c>
      <c r="M5">
        <f>RTD("tos.rtd","","BID_SIZE","/NQ:XCME")</f>
        <v>1</v>
      </c>
      <c r="N5">
        <f>RTD("tos.rtd","","ASK_SIZE","/NQ:XCME")</f>
        <v>1</v>
      </c>
    </row>
    <row r="6" spans="1:17" x14ac:dyDescent="0.25">
      <c r="A6" t="s">
        <v>15</v>
      </c>
      <c r="B6" t="s">
        <v>25</v>
      </c>
      <c r="C6" t="s">
        <v>26</v>
      </c>
      <c r="D6">
        <f>RTD("tos.rtd","","CLOSE","/RTY:XCME")</f>
        <v>2464.4</v>
      </c>
      <c r="E6">
        <f>RTD("tos.rtd","","OPEN","/RTY:XCME")</f>
        <v>2479.4</v>
      </c>
      <c r="F6">
        <f>RTD("tos.rtd","","NET_CHANGE","/RTY:XCME")</f>
        <v>-12.1</v>
      </c>
      <c r="G6">
        <f>RTD("tos.rtd","","HIGH","/RTY:XCME")</f>
        <v>2484.3000000000002</v>
      </c>
      <c r="H6">
        <f>RTD("tos.rtd","","LOW","/RTY:XCME")</f>
        <v>2430.4</v>
      </c>
      <c r="I6" t="str">
        <f>RTD("tos.rtd","","TOTAL_VOLUME","/RTY:XCME")</f>
        <v/>
      </c>
      <c r="J6">
        <f>RTD("tos.rtd","","BID","/RTY:XCME")</f>
        <v>2469.4</v>
      </c>
      <c r="K6">
        <f>RTD("tos.rtd","","LAST","/RTY:XCME")</f>
        <v>2469.6</v>
      </c>
      <c r="L6">
        <f>RTD("tos.rtd","","ASK","/RTY:XCME")</f>
        <v>2469.8000000000002</v>
      </c>
      <c r="M6">
        <f>RTD("tos.rtd","","BID_SIZE","/RTY:XCME")</f>
        <v>1</v>
      </c>
      <c r="N6">
        <f>RTD("tos.rtd","","ASK_SIZE","/RTY:XCME")</f>
        <v>2</v>
      </c>
    </row>
    <row r="7" spans="1:17" x14ac:dyDescent="0.25">
      <c r="A7" t="s">
        <v>15</v>
      </c>
      <c r="B7" t="s">
        <v>23</v>
      </c>
      <c r="C7" t="s">
        <v>24</v>
      </c>
      <c r="D7" t="str">
        <f>RTD("tos.rtd","","CLOSE","/CL:XNYM")</f>
        <v/>
      </c>
      <c r="E7" t="str">
        <f>RTD("tos.rtd","","OPEN","/CL:XNYM")</f>
        <v/>
      </c>
      <c r="F7" t="str">
        <f>RTD("tos.rtd","","NET_CHANGE","/CL:XNYM")</f>
        <v/>
      </c>
      <c r="G7" t="str">
        <f>RTD("tos.rtd","","HIGH","/CL:XNYM")</f>
        <v/>
      </c>
      <c r="H7" t="str">
        <f>RTD("tos.rtd","","LOW","/CL:XNYM")</f>
        <v/>
      </c>
      <c r="I7" t="str">
        <f>RTD("tos.rtd","","TOTAL_VOLUME","/CL:XNYM")</f>
        <v/>
      </c>
      <c r="J7" t="str">
        <f>RTD("tos.rtd","","BID","/CL:XNYM")</f>
        <v/>
      </c>
      <c r="K7" t="str">
        <f>RTD("tos.rtd","","LAST","/CL:XNYM")</f>
        <v/>
      </c>
      <c r="L7" t="str">
        <f>RTD("tos.rtd","","ASK","/CL:XNYM")</f>
        <v/>
      </c>
      <c r="M7" t="str">
        <f>RTD("tos.rtd","","BID_SIZE","/CL:XNYM")</f>
        <v/>
      </c>
      <c r="N7" t="str">
        <f>RTD("tos.rtd","","ASK_SIZE","/CL:XNYM")</f>
        <v/>
      </c>
    </row>
    <row r="8" spans="1:17" x14ac:dyDescent="0.25">
      <c r="A8" t="s">
        <v>15</v>
      </c>
      <c r="B8" t="s">
        <v>27</v>
      </c>
      <c r="C8" t="s">
        <v>28</v>
      </c>
      <c r="D8" t="str">
        <f>RTD("tos.rtd","","CLOSE","/SI:XCEC")</f>
        <v/>
      </c>
      <c r="E8">
        <f>RTD("tos.rtd","","OPEN","/SI:XCEC")</f>
        <v>0</v>
      </c>
      <c r="F8">
        <f>RTD("tos.rtd","","NET_CHANGE","/SI:XCEC")</f>
        <v>0</v>
      </c>
      <c r="G8">
        <f>RTD("tos.rtd","","HIGH","/SI:XCEC")</f>
        <v>0</v>
      </c>
      <c r="H8">
        <f>RTD("tos.rtd","","LOW","/SI:XCEC")</f>
        <v>0</v>
      </c>
      <c r="I8" t="str">
        <f>RTD("tos.rtd","","TOTAL_VOLUME","/SI:XCEC")</f>
        <v/>
      </c>
      <c r="J8">
        <f>RTD("tos.rtd","","BID","/SI:XCEC")</f>
        <v>0</v>
      </c>
      <c r="K8">
        <f>RTD("tos.rtd","","LAST","/SI:XCEC")</f>
        <v>0</v>
      </c>
      <c r="L8">
        <f>RTD("tos.rtd","","ASK","/SI:XCEC")</f>
        <v>0</v>
      </c>
      <c r="M8">
        <f>RTD("tos.rtd","","BID_SIZE","/SI:XCEC")</f>
        <v>0</v>
      </c>
      <c r="N8">
        <f>RTD("tos.rtd","","ASK_SIZE","/SI:XCEC")</f>
        <v>0</v>
      </c>
    </row>
    <row r="9" spans="1:17" x14ac:dyDescent="0.25">
      <c r="A9" t="s">
        <v>15</v>
      </c>
      <c r="B9" t="s">
        <v>29</v>
      </c>
      <c r="C9" t="s">
        <v>30</v>
      </c>
      <c r="D9" t="str">
        <f>RTD("tos.rtd","","CLOSE","/HG:EXEC")</f>
        <v/>
      </c>
      <c r="E9" t="str">
        <f>RTD("tos.rtd","","OPEN","/HG:EXEC")</f>
        <v/>
      </c>
      <c r="F9" t="str">
        <f>RTD("tos.rtd","","NET_CHANGE","/HG:EXEC")</f>
        <v/>
      </c>
      <c r="G9" t="str">
        <f>RTD("tos.rtd","","HIGH","/HG:EXEC")</f>
        <v/>
      </c>
      <c r="H9" t="str">
        <f>RTD("tos.rtd","","LOW","/HG:EXEC")</f>
        <v/>
      </c>
      <c r="I9" t="str">
        <f>RTD("tos.rtd","","TOTAL_VOLUME","/HG:EXEC")</f>
        <v/>
      </c>
      <c r="J9" t="str">
        <f>RTD("tos.rtd","","BID","/HG:EXEC")</f>
        <v/>
      </c>
      <c r="K9" t="str">
        <f>RTD("tos.rtd","","LAST","/HG:EXEC")</f>
        <v/>
      </c>
      <c r="L9" t="str">
        <f>RTD("tos.rtd","","ASK","/HG:EXEC")</f>
        <v/>
      </c>
      <c r="M9" t="str">
        <f>RTD("tos.rtd","","BID_SIZE","/HG:EXEC")</f>
        <v/>
      </c>
      <c r="N9" t="str">
        <f>RTD("tos.rtd","","ASK_SIZE","/HG:EXEC")</f>
        <v/>
      </c>
    </row>
    <row r="10" spans="1:17" x14ac:dyDescent="0.25">
      <c r="A10" t="s">
        <v>15</v>
      </c>
      <c r="B10" t="s">
        <v>31</v>
      </c>
      <c r="C10" t="s">
        <v>32</v>
      </c>
      <c r="D10" t="str">
        <f>RTD("tos.rtd","","CLOSE","/GC:XCEC")</f>
        <v/>
      </c>
      <c r="E10">
        <f>RTD("tos.rtd","","OPEN","/GC:XCEC")</f>
        <v>0</v>
      </c>
      <c r="F10">
        <f>RTD("tos.rtd","","NET_CHANGE","/GC:XCEC")</f>
        <v>0</v>
      </c>
      <c r="G10">
        <f>RTD("tos.rtd","","HIGH","/GC:XCEC")</f>
        <v>0</v>
      </c>
      <c r="H10">
        <f>RTD("tos.rtd","","LOW","/GC:XCEC")</f>
        <v>0</v>
      </c>
      <c r="I10" t="str">
        <f>RTD("tos.rtd","","TOTAL_VOLUME","/GC:XCEC")</f>
        <v/>
      </c>
      <c r="J10">
        <f>RTD("tos.rtd","","BID","/GC:XCEC")</f>
        <v>0</v>
      </c>
      <c r="K10">
        <f>RTD("tos.rtd","","LAST","/GC:XCEC")</f>
        <v>0</v>
      </c>
      <c r="L10">
        <f>RTD("tos.rtd","","ASK","/GC:XCEC")</f>
        <v>0</v>
      </c>
      <c r="M10">
        <f>RTD("tos.rtd","","BID_SIZE","/GC:XCEC")</f>
        <v>0</v>
      </c>
      <c r="N10">
        <f>RTD("tos.rtd","","ASK_SIZE","/GC:XCEC")</f>
        <v>0</v>
      </c>
    </row>
    <row r="11" spans="1:17" x14ac:dyDescent="0.25">
      <c r="A11" t="s">
        <v>15</v>
      </c>
      <c r="B11" t="s">
        <v>33</v>
      </c>
      <c r="C11" t="s">
        <v>34</v>
      </c>
      <c r="D11" t="str">
        <f>RTD("tos.rtd","","CLOSE","/VX:XCBF")</f>
        <v/>
      </c>
      <c r="E11">
        <f>RTD("tos.rtd","","OPEN","/VX:XCBF")</f>
        <v>0</v>
      </c>
      <c r="F11">
        <f>RTD("tos.rtd","","NET_CHANGE","/VX:XCBF")</f>
        <v>0</v>
      </c>
      <c r="G11">
        <f>RTD("tos.rtd","","HIGH","/VX:XCBF")</f>
        <v>0</v>
      </c>
      <c r="H11">
        <f>RTD("tos.rtd","","LOW","/VX:XCBF")</f>
        <v>0</v>
      </c>
      <c r="I11" t="str">
        <f>RTD("tos.rtd","","TOTAL_VOLUME","/VX:XCBF")</f>
        <v/>
      </c>
      <c r="J11">
        <f>RTD("tos.rtd","","BID","/VX:XCBF")</f>
        <v>0</v>
      </c>
      <c r="K11">
        <f>RTD("tos.rtd","","LAST","/VX:XCBF")</f>
        <v>0</v>
      </c>
      <c r="L11">
        <f>RTD("tos.rtd","","ASK","/VX:XCBF")</f>
        <v>0</v>
      </c>
      <c r="M11">
        <f>RTD("tos.rtd","","BID_SIZE","/VX:XCBF")</f>
        <v>0</v>
      </c>
      <c r="N11">
        <f>RTD("tos.rtd","","ASK_SIZE","/VX:XCBF")</f>
        <v>0</v>
      </c>
    </row>
    <row r="12" spans="1:17" x14ac:dyDescent="0.25">
      <c r="A12" t="s">
        <v>38</v>
      </c>
      <c r="B12" t="s">
        <v>35</v>
      </c>
      <c r="C12" t="s">
        <v>37</v>
      </c>
      <c r="D12" t="str">
        <f>RTD("tos.rtd","","CLOSE","/$DXY")</f>
        <v/>
      </c>
      <c r="E12" t="str">
        <f>RTD("tos.rtd","","OPEN","/$DXY")</f>
        <v/>
      </c>
      <c r="F12" t="str">
        <f>RTD("tos.rtd","","NET_CHANGE","/$DXY")</f>
        <v/>
      </c>
      <c r="G12" t="str">
        <f>RTD("tos.rtd","","HIGH","/$DXY")</f>
        <v/>
      </c>
      <c r="H12" t="str">
        <f>RTD("tos.rtd","","LOW","/$DXY")</f>
        <v/>
      </c>
      <c r="I12" t="str">
        <f>RTD("tos.rtd","","TOTAL_VOLUME","/$DXY")</f>
        <v/>
      </c>
      <c r="J12" t="str">
        <f>RTD("tos.rtd","","BID","/$DXY")</f>
        <v/>
      </c>
      <c r="K12" t="str">
        <f>RTD("tos.rtd","","LAST","/$DXY")</f>
        <v/>
      </c>
      <c r="L12" t="str">
        <f>RTD("tos.rtd","","ASK","/$DXY")</f>
        <v/>
      </c>
      <c r="M12" t="str">
        <f>RTD("tos.rtd","","BID_SIZE","/$DXY")</f>
        <v/>
      </c>
      <c r="N12" t="str">
        <f>RTD("tos.rtd","","ASK_SIZE","/$DXY")</f>
        <v/>
      </c>
    </row>
    <row r="13" spans="1:17" x14ac:dyDescent="0.25">
      <c r="A13" t="s">
        <v>15</v>
      </c>
      <c r="B13" t="s">
        <v>36</v>
      </c>
      <c r="C13" t="s">
        <v>22</v>
      </c>
      <c r="D13" t="str">
        <f>RTD("tos.rtd","","CLOSE","/ZB:XCBT")</f>
        <v/>
      </c>
      <c r="E13">
        <f>RTD("tos.rtd","","OPEN","/ZB:XCBT")</f>
        <v>0</v>
      </c>
      <c r="F13">
        <f>RTD("tos.rtd","","NET_CHANGE","/ZB:XCBT")</f>
        <v>0</v>
      </c>
      <c r="G13">
        <f>RTD("tos.rtd","","HIGH","/ZB:XCBT")</f>
        <v>0</v>
      </c>
      <c r="H13">
        <f>RTD("tos.rtd","","LOW","/ZB:XCBT")</f>
        <v>0</v>
      </c>
      <c r="I13" t="str">
        <f>RTD("tos.rtd","","TOTAL_VOLUME","/ZB:XCBT")</f>
        <v/>
      </c>
      <c r="J13">
        <f>RTD("tos.rtd","","BID","/ZB:XCBT")</f>
        <v>0</v>
      </c>
      <c r="K13">
        <f>RTD("tos.rtd","","LAST","/ZB:XCBT")</f>
        <v>0</v>
      </c>
      <c r="L13">
        <f>RTD("tos.rtd","","ASK","/ZB:XCBT")</f>
        <v>0</v>
      </c>
      <c r="M13">
        <f>RTD("tos.rtd","","BID_SIZE","/ZB:XCBT")</f>
        <v>0</v>
      </c>
      <c r="N13">
        <f>RTD("tos.rtd","","ASK_SIZE","/ZB:XCBT")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tnAddRTD">
              <controlPr defaultSize="0" print="0" autoFill="0" autoPict="0" macro="[0]!AddRTDRow_FromPrompt">
                <anchor moveWithCells="1" sizeWithCells="1">
                  <from>
                    <xdr:col>14</xdr:col>
                    <xdr:colOff>0</xdr:colOff>
                    <xdr:row>1</xdr:row>
                    <xdr:rowOff>57150</xdr:rowOff>
                  </from>
                  <to>
                    <xdr:col>16</xdr:col>
                    <xdr:colOff>66675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LiveData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Sutton</dc:creator>
  <cp:lastModifiedBy>Tony Sutton</cp:lastModifiedBy>
  <dcterms:created xsi:type="dcterms:W3CDTF">2025-10-17T23:45:45Z</dcterms:created>
  <dcterms:modified xsi:type="dcterms:W3CDTF">2025-10-18T21:35:19Z</dcterms:modified>
</cp:coreProperties>
</file>