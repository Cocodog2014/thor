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1E773966-FAEE-42EF-A352-652D30EE16A8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  <sheet name="LiveRTDvba" sheetId="4" r:id="rId2"/>
    <sheet name="helper fields" sheetId="5" r:id="rId3"/>
    <sheet name="to even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  <c r="D23" i="2"/>
  <c r="I23" i="2" s="1"/>
  <c r="N4" i="3"/>
  <c r="M4" i="3"/>
  <c r="L4" i="3"/>
  <c r="K4" i="3"/>
  <c r="J4" i="3"/>
  <c r="I4" i="3"/>
  <c r="H4" i="3"/>
  <c r="G4" i="3"/>
  <c r="F4" i="3"/>
  <c r="E4" i="3"/>
  <c r="D4" i="3"/>
  <c r="C4" i="3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<sst xmlns="http://schemas.openxmlformats.org/spreadsheetml/2006/main" count="227" uniqueCount="186">
  <si>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</si>
  <si>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</si>
  <si>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</si>
  <si>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</si>
  <si>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</si>
  <si>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</si>
  <si>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</si>
  <si>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</si>
  <si>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</si>
  <si>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</si>
  <si>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</si>
  <si>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</si>
  <si>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</si>
  <si>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</si>
  <si>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</si>
  <si>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</si>
  <si>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</si>
  <si>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</si>
  <si>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</si>
  <si>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</si>
  <si>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</si>
  <si>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</si>
  <si>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</si>
  <si>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</si>
  <si>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</si>
  <si>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</si>
  <si>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</si>
  <si>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</si>
  <si>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</si>
  <si>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</si>
  <si>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</si>
  <si>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</si>
  <si>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</si>
  <si>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</si>
  <si>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</si>
  <si>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</si>
  <si>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</si>
  <si>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</si>
  <si>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</si>
  <si>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</si>
  <si>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</si>
  <si>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</si>
  <si>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</si>
  <si>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</si>
  <si>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</si>
  <si>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</si>
  <si>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</si>
  <si>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</si>
  <si>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</si>
  <si>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</si>
  <si>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</si>
  <si>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</si>
  <si>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P/L Day</t>
  </si>
  <si>
    <t>Purchased Shares</t>
  </si>
  <si>
    <t>Purchased $</t>
  </si>
  <si>
    <t>Net Liquidation</t>
  </si>
  <si>
    <t>Avalable Funds</t>
  </si>
  <si>
    <t>P/L Opening</t>
  </si>
  <si>
    <t>BUY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</si>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</sst>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3</v>
        <stp/>
        <stp>ASK_SIZE</stp>
        <stp>/RTY:XCME</stp>
        <tr r="N5" s="2"/>
      </tp>
      <tp>
        <v>2</v>
        <stp/>
        <stp>BID_SIZE</stp>
        <stp>/RTY:XCME</stp>
        <tr r="M5" s="2"/>
      </tp>
      <tp>
        <v>72760</v>
        <stp/>
        <stp>VOLUME</stp>
        <stp>/GC:XCEC</stp>
        <tr r="I9" s="2"/>
      </tp>
      <tp>
        <v>1.1850000000000001</v>
        <stp/>
        <stp>OPEN</stp>
        <stp>CGC</stp>
        <tr r="L4" s="3"/>
        <tr r="L18" s="2"/>
      </tp>
      <tp>
        <v>82750</v>
        <stp/>
        <stp>VOLUME</stp>
        <stp>/ES:XCME</stp>
        <tr r="I3" s="2"/>
      </tp>
      <tp t="s">
        <v>CANOPY GROWTH CORP</v>
        <stp/>
        <stp>DESCRIPTION</stp>
        <stp>CGC</stp>
        <tr r="C18" s="2"/>
        <tr r="C4" s="3"/>
      </tp>
      <tp t="s">
        <v>instrument=CGC</v>
        <stp/>
        <stp>QUOTE_TREND</stp>
        <stp>CGC</stp>
        <tr r="D18" s="2"/>
        <tr r="D4" s="3"/>
      </tp>
      <tp>
        <v>2492.8000000000002</v>
        <stp/>
        <stp>CLOSE</stp>
        <stp>/RTY:XCME</stp>
        <tr r="D5" s="2"/>
      </tp>
      <tp>
        <v>12913</v>
        <stp/>
        <stp>VOLUME</stp>
        <stp>/RTY:XCME</stp>
        <tr r="I5" s="2"/>
      </tp>
      <tp>
        <v>12136</v>
        <stp/>
        <stp>VOLUME</stp>
        <stp>/HG:XCEC</stp>
        <tr r="I8" s="2"/>
      </tp>
      <tp>
        <v>46945</v>
        <stp/>
        <stp>VOLUME</stp>
        <stp>/NQ:XCME</stp>
        <tr r="I4" s="2"/>
      </tp>
      <tp>
        <v>59003</v>
        <stp/>
        <stp>VOLUME</stp>
        <stp>/CL:XNYM</stp>
        <tr r="I6" s="2"/>
      </tp>
      <tp>
        <v>40271</v>
        <stp/>
        <stp>VOLUME</stp>
        <stp>/SI:XCEC</stp>
        <tr r="I7" s="2"/>
      </tp>
      <tp>
        <v>1.17</v>
        <stp/>
        <stp>LOW</stp>
        <stp>CGC</stp>
        <tr r="N18" s="2"/>
        <tr r="N4" s="3"/>
      </tp>
      <tp>
        <v>99.594999999999999</v>
        <stp/>
        <stp>CLOSE</stp>
        <stp>$DXY</stp>
        <tr r="D11" s="2"/>
      </tp>
      <tp>
        <v>4890</v>
        <stp/>
        <stp>VOLUME</stp>
        <stp>/VX:XCBF</stp>
        <tr r="I10" s="2"/>
      </tp>
      <tp>
        <v>-1.9E-2</v>
        <stp/>
        <stp>NET_CHANGE</stp>
        <stp>$DXY</stp>
        <tr r="F11" s="2"/>
      </tp>
      <tp>
        <v>1.21</v>
        <stp/>
        <stp>LAST</stp>
        <stp>CGC</stp>
        <tr r="E4" s="3"/>
        <tr r="E18" s="2"/>
      </tp>
      <tp>
        <v>17639313</v>
        <stp/>
        <stp>VOLUME</stp>
        <stp>CGC</stp>
        <tr r="K18" s="2"/>
        <tr r="K4" s="3"/>
      </tp>
      <tp>
        <v>1.2</v>
        <stp/>
        <stp>ASK</stp>
        <stp>CGC</stp>
        <tr r="I4" s="3"/>
        <tr r="I18" s="2"/>
      </tp>
      <tp>
        <v>43736</v>
        <stp/>
        <stp>VOLUME</stp>
        <stp>/ZB:XCBT</stp>
        <tr r="I12" s="2"/>
      </tp>
      <tp>
        <v>10999</v>
        <stp/>
        <stp>VOLUME</stp>
        <stp>/YM:XCBT</stp>
        <tr r="I2" s="2"/>
      </tp>
      <tp>
        <v>1.18</v>
        <stp/>
        <stp>BID</stp>
        <stp>CGC</stp>
        <tr r="G18" s="2"/>
        <tr r="G4" s="3"/>
      </tp>
      <tp t="s">
        <v>N/A</v>
        <stp/>
        <stp>BID</stp>
        <stp>$DXY</stp>
        <tr r="J11" s="2"/>
      </tp>
      <tp>
        <v>99.406000000000006</v>
        <stp/>
        <stp>LOW</stp>
        <stp>$DXY</stp>
        <tr r="H11" s="2"/>
      </tp>
      <tp>
        <v>1.24</v>
        <stp/>
        <stp>HIGH</stp>
        <stp>CGC</stp>
        <tr r="M18" s="2"/>
        <tr r="M4" s="3"/>
      </tp>
      <tp>
        <v>88</v>
        <stp/>
        <stp>ASK_SIZE</stp>
        <stp>/ZB:XCBT</stp>
        <tr r="N12" s="2"/>
      </tp>
      <tp t="s">
        <v>N/A</v>
        <stp/>
        <stp>BID_SIZE</stp>
        <stp>/VX:XCBF</stp>
        <tr r="M10" s="2"/>
      </tp>
      <tp>
        <v>1</v>
        <stp/>
        <stp>ASK_SIZE</stp>
        <stp>/YM:XCBT</stp>
        <tr r="N2" s="2"/>
      </tp>
      <tp>
        <v>5</v>
        <stp/>
        <stp>BID_SIZE</stp>
        <stp>/SI:XCEC</stp>
        <tr r="M7" s="2"/>
      </tp>
      <tp>
        <v>99.503</v>
        <stp/>
        <stp>OPEN</stp>
        <stp>$DXY</stp>
        <tr r="E11" s="2"/>
      </tp>
      <tp>
        <v>3</v>
        <stp/>
        <stp>ASK_SIZE</stp>
        <stp>/SI:XCEC</stp>
        <tr r="N7" s="2"/>
      </tp>
      <tp>
        <v>99.709000000000003</v>
        <stp/>
        <stp>HIGH</stp>
        <stp>$DXY</stp>
        <tr r="G11" s="2"/>
      </tp>
      <tp t="s">
        <v>N/A</v>
        <stp/>
        <stp>ASK_SIZE</stp>
        <stp>/VX:XCBF</stp>
        <tr r="N10" s="2"/>
      </tp>
      <tp>
        <v>2</v>
        <stp/>
        <stp>BID_SIZE</stp>
        <stp>/YM:XCBT</stp>
        <tr r="M2" s="2"/>
      </tp>
      <tp>
        <v>204</v>
        <stp/>
        <stp>BID_SIZE</stp>
        <stp>/ZB:XCBT</stp>
        <tr r="M12" s="2"/>
      </tp>
      <tp>
        <v>6</v>
        <stp/>
        <stp>BID_SIZE</stp>
        <stp>/ES:XCME</stp>
        <tr r="M3" s="2"/>
      </tp>
      <tp>
        <v>4</v>
        <stp/>
        <stp>BID_SIZE</stp>
        <stp>/GC:XCEC</stp>
        <tr r="M9" s="2"/>
      </tp>
      <tp>
        <v>2</v>
        <stp/>
        <stp>ASK_SIZE</stp>
        <stp>/HG:XCEC</stp>
        <tr r="N8" s="2"/>
      </tp>
      <tp>
        <v>6</v>
        <stp/>
        <stp>ASK_SIZE</stp>
        <stp>/CL:XNYM</stp>
        <tr r="N6" s="2"/>
      </tp>
      <tp>
        <v>1</v>
        <stp/>
        <stp>ASK_SIZE</stp>
        <stp>/NQ:XCME</stp>
        <tr r="N4" s="2"/>
      </tp>
      <tp>
        <v>4</v>
        <stp/>
        <stp>BID_SIZE</stp>
        <stp>/CL:XNYM</stp>
        <tr r="M6" s="2"/>
      </tp>
      <tp>
        <v>1</v>
        <stp/>
        <stp>BID_SIZE</stp>
        <stp>/NQ:XCME</stp>
        <tr r="M4" s="2"/>
      </tp>
      <tp>
        <v>2</v>
        <stp/>
        <stp>ASK_SIZE</stp>
        <stp>/GC:XCEC</stp>
        <tr r="N9" s="2"/>
      </tp>
      <tp>
        <v>2</v>
        <stp/>
        <stp>BID_SIZE</stp>
        <stp>/HG:XCEC</stp>
        <tr r="M8" s="2"/>
      </tp>
      <tp>
        <v>9</v>
        <stp/>
        <stp>ASK_SIZE</stp>
        <stp>/ES:XCME</stp>
        <tr r="N3" s="2"/>
      </tp>
      <tp>
        <v>99.575999999999993</v>
        <stp/>
        <stp>LAST</stp>
        <stp>$DXY</stp>
        <tr r="K11" s="2"/>
      </tp>
      <tp>
        <v>53.606999999999999</v>
        <stp/>
        <stp>CLOSE</stp>
        <stp>/SI:XCEC</stp>
        <tr r="D7" s="2"/>
      </tp>
      <tp>
        <v>4189</v>
        <stp/>
        <stp>ASK</stp>
        <stp>/GC:XCEC</stp>
        <tr r="L9" s="2"/>
      </tp>
      <tp>
        <v>2491.8000000000002</v>
        <stp/>
        <stp>LAST</stp>
        <stp>/RTY:XCME</stp>
        <tr r="K5" s="2"/>
      </tp>
      <tp>
        <v>0.24299999999999999</v>
        <stp/>
        <stp>NET_CHANGE</stp>
        <stp>/SI:XCEC</stp>
        <tr r="F7" s="2"/>
      </tp>
      <tp t="s">
        <v>117'19</v>
        <stp/>
        <stp>LOW</stp>
        <stp>/ZB:XCBT</stp>
        <tr r="H12" s="2"/>
      </tp>
      <tp>
        <v>47442</v>
        <stp/>
        <stp>LOW</stp>
        <stp>/YM:XCBT</stp>
        <tr r="H2" s="2"/>
      </tp>
      <tp>
        <v>6827.75</v>
        <stp/>
        <stp>ASK</stp>
        <stp>/ES:XCME</stp>
        <tr r="L3" s="2"/>
      </tp>
      <tp t="s">
        <v>N/A</v>
        <stp/>
        <stp>VOLUME</stp>
        <stp>$DXY</stp>
        <tr r="I11" s="2"/>
      </tp>
      <tp>
        <v>0.09</v>
        <stp/>
        <stp>NET_CHANGE</stp>
        <stp>/VX:XCBF</stp>
        <tr r="F10" s="2"/>
      </tp>
      <tp>
        <v>47474</v>
        <stp/>
        <stp>BID</stp>
        <stp>/YM:XCBT</stp>
        <tr r="J2" s="2"/>
      </tp>
      <tp>
        <v>18.743099999999998</v>
        <stp/>
        <stp>CLOSE</stp>
        <stp>/VX:XCBF</stp>
        <tr r="D10" s="2"/>
      </tp>
      <tp t="s">
        <v>117'25</v>
        <stp/>
        <stp>BID</stp>
        <stp>/ZB:XCBT</stp>
        <tr r="J12" s="2"/>
      </tp>
      <tp>
        <v>-1</v>
        <stp/>
        <stp>NET_CHANGE</stp>
        <stp>/RTY:XCME</stp>
        <tr r="F5" s="2"/>
      </tp>
      <tp t="s">
        <v>-0'02</v>
        <stp/>
        <stp>NET_CHANGE</stp>
        <stp>/ZB:XCBT</stp>
        <tr r="F12" s="2"/>
      </tp>
      <tp>
        <v>53.22</v>
        <stp/>
        <stp>LOW</stp>
        <stp>/SI:XCEC</stp>
        <tr r="H7" s="2"/>
      </tp>
      <tp t="s">
        <v>117'27</v>
        <stp/>
        <stp>CLOSE</stp>
        <stp>/ZB:XCBT</stp>
        <tr r="D12" s="2"/>
      </tp>
      <tp>
        <v>59.12</v>
        <stp/>
        <stp>ASK</stp>
        <stp>/CL:XNYM</stp>
        <tr r="L6" s="2"/>
      </tp>
      <tp>
        <v>25303.25</v>
        <stp/>
        <stp>ASK</stp>
        <stp>/NQ:XCME</stp>
        <tr r="L4" s="2"/>
      </tp>
      <tp>
        <v>47490</v>
        <stp/>
        <stp>CLOSE</stp>
        <stp>/YM:XCBT</stp>
        <tr r="D2" s="2"/>
      </tp>
      <tp>
        <v>-14</v>
        <stp/>
        <stp>NET_CHANGE</stp>
        <stp>/YM:XCBT</stp>
        <tr r="F2" s="2"/>
      </tp>
      <tp>
        <v>18.100000000000001</v>
        <stp/>
        <stp>BID</stp>
        <stp>/VX:XCBF</stp>
        <tr r="J10" s="2"/>
      </tp>
      <tp>
        <v>18.649999999999999</v>
        <stp/>
        <stp>LOW</stp>
        <stp>/VX:XCBF</stp>
        <tr r="H10" s="2"/>
      </tp>
      <tp>
        <v>53.844999999999999</v>
        <stp/>
        <stp>BID</stp>
        <stp>/SI:XCEC</stp>
        <tr r="J7" s="2"/>
      </tp>
      <tp>
        <v>24000</v>
        <stp/>
        <stp>ASK_SIZE</stp>
        <stp>CGC</stp>
        <tr r="J18" s="2"/>
        <tr r="J4" s="3"/>
      </tp>
      <tp>
        <v>5.1639999999999997</v>
        <stp/>
        <stp>ASK</stp>
        <stp>/HG:XCEC</stp>
        <tr r="L8" s="2"/>
      </tp>
      <tp>
        <v>19.399999999999999</v>
        <stp/>
        <stp>ASK</stp>
        <stp>/VX:XCBF</stp>
        <tr r="L10" s="2"/>
      </tp>
      <tp>
        <v>25301.5</v>
        <stp/>
        <stp>BID</stp>
        <stp>/NQ:XCME</stp>
        <tr r="J4" s="2"/>
      </tp>
      <tp>
        <v>59.11</v>
        <stp/>
        <stp>BID</stp>
        <stp>/CL:XNYM</stp>
        <tr r="J6" s="2"/>
      </tp>
      <tp>
        <v>5.133</v>
        <stp/>
        <stp>LOW</stp>
        <stp>/HG:XCEC</stp>
        <tr r="H8" s="2"/>
      </tp>
      <tp>
        <v>4202.3</v>
        <stp/>
        <stp>CLOSE</stp>
        <stp>/GC:XCEC</stp>
        <tr r="D9" s="2"/>
      </tp>
      <tp>
        <v>53.86</v>
        <stp/>
        <stp>ASK</stp>
        <stp>/SI:XCEC</stp>
        <tr r="L7" s="2"/>
      </tp>
      <tp>
        <v>1400</v>
        <stp/>
        <stp>BID_SIZE</stp>
        <stp>CGC</stp>
        <tr r="H18" s="2"/>
        <tr r="H4" s="3"/>
      </tp>
      <tp>
        <v>-13.3</v>
        <stp/>
        <stp>NET_CHANGE</stp>
        <stp>/GC:XCEC</stp>
        <tr r="F9" s="2"/>
      </tp>
      <tp>
        <v>25285.75</v>
        <stp/>
        <stp>LOW</stp>
        <stp>/NQ:XCME</stp>
        <tr r="H4" s="2"/>
      </tp>
      <tp>
        <v>58.27</v>
        <stp/>
        <stp>LOW</stp>
        <stp>/CL:XNYM</stp>
        <tr r="H6" s="2"/>
      </tp>
      <tp>
        <v>5.1624999999999996</v>
        <stp/>
        <stp>BID</stp>
        <stp>/HG:XCEC</stp>
        <tr r="J8" s="2"/>
      </tp>
      <tp>
        <v>6828</v>
        <stp/>
        <stp>CLOSE</stp>
        <stp>/ES:XCME</stp>
        <tr r="D3" s="2"/>
      </tp>
      <tp>
        <v>0</v>
        <stp/>
        <stp>NET_CHANGE</stp>
        <stp>/ES:XCME</stp>
        <tr r="F3" s="2"/>
      </tp>
      <tp>
        <v>6827.75</v>
        <stp/>
        <stp>BID</stp>
        <stp>/ES:XCME</stp>
        <tr r="J3" s="2"/>
      </tp>
      <tp>
        <v>-3.0499999999999999E-2</v>
        <stp/>
        <stp>NET_CHANGE</stp>
        <stp>/HG:XCEC</stp>
        <tr r="F8" s="2"/>
      </tp>
      <tp>
        <v>4188.5</v>
        <stp/>
        <stp>BID</stp>
        <stp>/GC:XCEC</stp>
        <tr r="J9" s="2"/>
      </tp>
      <tp>
        <v>5.194</v>
        <stp/>
        <stp>CLOSE</stp>
        <stp>/HG:XCEC</stp>
        <tr r="D8" s="2"/>
      </tp>
      <tp>
        <v>2490.9</v>
        <stp/>
        <stp>OPEN</stp>
        <stp>/RTY:XCME</stp>
        <tr r="E5" s="2"/>
      </tp>
      <tp>
        <v>-0.5</v>
        <stp/>
        <stp>NET_CHANGE</stp>
        <stp>/NQ:XCME</stp>
        <tr r="F4" s="2"/>
      </tp>
      <tp>
        <v>0.47</v>
        <stp/>
        <stp>NET_CHANGE</stp>
        <stp>/CL:XNYM</stp>
        <tr r="F6" s="2"/>
      </tp>
      <tp>
        <v>4174.6000000000004</v>
        <stp/>
        <stp>LOW</stp>
        <stp>/GC:XCEC</stp>
        <tr r="H9" s="2"/>
      </tp>
      <tp>
        <v>25302.25</v>
        <stp/>
        <stp>CLOSE</stp>
        <stp>/NQ:XCME</stp>
        <tr r="D4" s="2"/>
      </tp>
      <tp>
        <v>58.65</v>
        <stp/>
        <stp>CLOSE</stp>
        <stp>/CL:XNYM</stp>
        <tr r="D6" s="2"/>
      </tp>
      <tp>
        <v>2495.1</v>
        <stp/>
        <stp>HIGH</stp>
        <stp>/RTY:XCME</stp>
        <tr r="G5" s="2"/>
      </tp>
      <tp t="s">
        <v>117'26</v>
        <stp/>
        <stp>ASK</stp>
        <stp>/ZB:XCBT</stp>
        <tr r="L12" s="2"/>
      </tp>
      <tp>
        <v>0.02</v>
        <stp/>
        <stp>NET_CHANGE</stp>
        <stp>CGC</stp>
        <tr r="F18" s="2"/>
        <tr r="F4" s="3"/>
      </tp>
      <tp>
        <v>6824.25</v>
        <stp/>
        <stp>LOW</stp>
        <stp>/ES:XCME</stp>
        <tr r="H3" s="2"/>
      </tp>
      <tp>
        <v>47482</v>
        <stp/>
        <stp>ASK</stp>
        <stp>/YM:XCBT</stp>
        <tr r="L2" s="2"/>
      </tp>
      <tp>
        <v>47476</v>
        <stp/>
        <stp>LAST</stp>
        <stp>/YM:XCBT</stp>
        <tr r="K2" s="2"/>
      </tp>
      <tp>
        <v>25313</v>
        <stp/>
        <stp>OPEN</stp>
        <stp>/NQ:XCME</stp>
        <tr r="E4" s="2"/>
      </tp>
      <tp>
        <v>58.58</v>
        <stp/>
        <stp>OPEN</stp>
        <stp>/CL:XNYM</stp>
        <tr r="E6" s="2"/>
      </tp>
      <tp>
        <v>25339.25</v>
        <stp/>
        <stp>HIGH</stp>
        <stp>/NQ:XCME</stp>
        <tr r="G4" s="2"/>
      </tp>
      <tp t="s">
        <v>117'25</v>
        <stp/>
        <stp>LAST</stp>
        <stp>/ZB:XCBT</stp>
        <tr r="K12" s="2"/>
      </tp>
      <tp>
        <v>59.15</v>
        <stp/>
        <stp>HIGH</stp>
        <stp>/CL:XNYM</stp>
        <tr r="G6" s="2"/>
      </tp>
      <tp>
        <v>5.21</v>
        <stp/>
        <stp>HIGH</stp>
        <stp>/HG:XCEC</stp>
        <tr r="G8" s="2"/>
      </tp>
      <tp>
        <v>5.2060000000000004</v>
        <stp/>
        <stp>OPEN</stp>
        <stp>/HG:XCEC</stp>
        <tr r="E8" s="2"/>
      </tp>
      <tp>
        <v>4198.6000000000004</v>
        <stp/>
        <stp>OPEN</stp>
        <stp>/GC:XCEC</stp>
        <tr r="E9" s="2"/>
      </tp>
      <tp>
        <v>6833.75</v>
        <stp/>
        <stp>HIGH</stp>
        <stp>/ES:XCME</stp>
        <tr r="G3" s="2"/>
      </tp>
      <tp>
        <v>2486.1</v>
        <stp/>
        <stp>LOW</stp>
        <stp>/RTY:XCME</stp>
        <tr r="H5" s="2"/>
      </tp>
      <tp>
        <v>4200.8</v>
        <stp/>
        <stp>HIGH</stp>
        <stp>/GC:XCEC</stp>
        <tr r="G9" s="2"/>
      </tp>
      <tp>
        <v>6830.25</v>
        <stp/>
        <stp>OPEN</stp>
        <stp>/ES:XCME</stp>
        <tr r="E3" s="2"/>
      </tp>
      <tp>
        <v>53.85</v>
        <stp/>
        <stp>LAST</stp>
        <stp>/SI:XCEC</stp>
        <tr r="K7" s="2"/>
      </tp>
      <tp>
        <v>18.8</v>
        <stp/>
        <stp>LAST</stp>
        <stp>/VX:XCBF</stp>
        <tr r="K10" s="2"/>
      </tp>
      <tp>
        <v>5.1635</v>
        <stp/>
        <stp>LAST</stp>
        <stp>/HG:XCEC</stp>
        <tr r="K8" s="2"/>
      </tp>
      <tp t="s">
        <v>N/A</v>
        <stp/>
        <stp>BID_SIZE</stp>
        <stp>$DXY</stp>
        <tr r="M11" s="2"/>
      </tp>
      <tp>
        <v>47538</v>
        <stp/>
        <stp>HIGH</stp>
        <stp>/YM:XCBT</stp>
        <tr r="G2" s="2"/>
      </tp>
      <tp>
        <v>2491.9</v>
        <stp/>
        <stp>ASK</stp>
        <stp>/RTY:XCME</stp>
        <tr r="L5" s="2"/>
      </tp>
      <tp t="s">
        <v>117'27</v>
        <stp/>
        <stp>OPEN</stp>
        <stp>/ZB:XCBT</stp>
        <tr r="E12" s="2"/>
      </tp>
      <tp>
        <v>47513</v>
        <stp/>
        <stp>OPEN</stp>
        <stp>/YM:XCBT</stp>
        <tr r="E2" s="2"/>
      </tp>
      <tp>
        <v>59.12</v>
        <stp/>
        <stp>LAST</stp>
        <stp>/CL:XNYM</stp>
        <tr r="K6" s="2"/>
      </tp>
      <tp>
        <v>25301.75</v>
        <stp/>
        <stp>LAST</stp>
        <stp>/NQ:XCME</stp>
        <tr r="K4" s="2"/>
      </tp>
      <tp t="s">
        <v>117'29</v>
        <stp/>
        <stp>HIGH</stp>
        <stp>/ZB:XCBT</stp>
        <tr r="G12" s="2"/>
      </tp>
      <tp>
        <v>18.75</v>
        <stp/>
        <stp>OPEN</stp>
        <stp>/VX:XCBF</stp>
        <tr r="E10" s="2"/>
      </tp>
      <tp>
        <v>2491.9</v>
        <stp/>
        <stp>BID</stp>
        <stp>/RTY:XCME</stp>
        <tr r="J5" s="2"/>
      </tp>
      <tp>
        <v>18.850000000000001</v>
        <stp/>
        <stp>HIGH</stp>
        <stp>/VX:XCBF</stp>
        <tr r="G10" s="2"/>
      </tp>
      <tp>
        <v>53.755000000000003</v>
        <stp/>
        <stp>OPEN</stp>
        <stp>/SI:XCEC</stp>
        <tr r="E7" s="2"/>
      </tp>
      <tp>
        <v>6828</v>
        <stp/>
        <stp>LAST</stp>
        <stp>/ES:XCME</stp>
        <tr r="K3" s="2"/>
      </tp>
      <tp t="s">
        <v>N/A</v>
        <stp/>
        <stp>ASK_SIZE</stp>
        <stp>$DXY</stp>
        <tr r="N11" s="2"/>
      </tp>
      <tp>
        <v>54.445</v>
        <stp/>
        <stp>HIGH</stp>
        <stp>/SI:XCEC</stp>
        <tr r="G7" s="2"/>
      </tp>
      <tp>
        <v>4189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0" sqref="Q10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47490</v>
      </c>
      <c r="E2">
        <f>RTD("tos.rtd","","OPEN","/YM:XCBT")</f>
        <v>47513</v>
      </c>
      <c r="F2">
        <f>RTD("tos.rtd","","NET_CHANGE","/YM:XCBT")</f>
        <v>-14</v>
      </c>
      <c r="G2">
        <f>RTD("tos.rtd","","HIGH","/YM:XCBT")</f>
        <v>47538</v>
      </c>
      <c r="H2">
        <f>RTD("tos.rtd","","LOW","/YM:XCBT")</f>
        <v>47442</v>
      </c>
      <c r="I2">
        <f>RTD("tos.rtd","","VOLUME","/YM:XCBT")</f>
        <v>10999</v>
      </c>
      <c r="J2">
        <f>RTD("tos.rtd","","BID","/YM:XCBT")</f>
        <v>47474</v>
      </c>
      <c r="K2">
        <f>RTD("tos.rtd","","LAST","/YM:XCBT")</f>
        <v>47476</v>
      </c>
      <c r="L2">
        <f>RTD("tos.rtd","","ASK","/YM:XCBT")</f>
        <v>47482</v>
      </c>
      <c r="M2">
        <f>RTD("tos.rtd","","BID_SIZE","/YM:XCBT")</f>
        <v>2</v>
      </c>
      <c r="N2">
        <f>RTD("tos.rtd","","ASK_SIZE","/YM:XCBT")</f>
        <v>1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6828</v>
      </c>
      <c r="E3">
        <f>RTD("tos.rtd","","OPEN","/ES:XCME")</f>
        <v>6830.25</v>
      </c>
      <c r="F3">
        <f>RTD("tos.rtd","","NET_CHANGE","/ES:XCME")</f>
        <v>0</v>
      </c>
      <c r="G3">
        <f>RTD("tos.rtd","","HIGH","/ES:XCME")</f>
        <v>6833.75</v>
      </c>
      <c r="H3">
        <f>RTD("tos.rtd","","LOW","/ES:XCME")</f>
        <v>6824.25</v>
      </c>
      <c r="I3">
        <f>RTD("tos.rtd","","VOLUME","/ES:XCME")</f>
        <v>82750</v>
      </c>
      <c r="J3">
        <f>RTD("tos.rtd","","BID","/ES:XCME")</f>
        <v>6827.75</v>
      </c>
      <c r="K3">
        <f>RTD("tos.rtd","","LAST","/ES:XCME")</f>
        <v>6828</v>
      </c>
      <c r="L3">
        <f>RTD("tos.rtd","","ASK","/ES:XCME")</f>
        <v>6827.75</v>
      </c>
      <c r="M3">
        <f>RTD("tos.rtd","","BID_SIZE","/ES:XCME")</f>
        <v>6</v>
      </c>
      <c r="N3">
        <f>RTD("tos.rtd","","ASK_SIZE","/ES:XCME")</f>
        <v>9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25302.25</v>
      </c>
      <c r="E4">
        <f>RTD("tos.rtd","","OPEN","/NQ:XCME")</f>
        <v>25313</v>
      </c>
      <c r="F4">
        <f>RTD("tos.rtd","","NET_CHANGE","/NQ:XCME")</f>
        <v>-0.5</v>
      </c>
      <c r="G4">
        <f>RTD("tos.rtd","","HIGH","/NQ:XCME")</f>
        <v>25339.25</v>
      </c>
      <c r="H4">
        <f>RTD("tos.rtd","","LOW","/NQ:XCME")</f>
        <v>25285.75</v>
      </c>
      <c r="I4">
        <f>RTD("tos.rtd","","VOLUME","/NQ:XCME")</f>
        <v>46945</v>
      </c>
      <c r="J4">
        <f>RTD("tos.rtd","","BID","/NQ:XCME")</f>
        <v>25301.5</v>
      </c>
      <c r="K4">
        <f>RTD("tos.rtd","","LAST","/NQ:XCME")</f>
        <v>25301.75</v>
      </c>
      <c r="L4">
        <f>RTD("tos.rtd","","ASK","/NQ:XCME")</f>
        <v>25303.25</v>
      </c>
      <c r="M4">
        <f>RTD("tos.rtd","","BID_SIZE","/NQ:XCME")</f>
        <v>1</v>
      </c>
      <c r="N4">
        <f>RTD("tos.rtd","","ASK_SIZE","/NQ:XCME")</f>
        <v>1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2492.8000000000002</v>
      </c>
      <c r="E5">
        <f>RTD("tos.rtd","","OPEN","/RTY:XCME")</f>
        <v>2490.9</v>
      </c>
      <c r="F5">
        <f>RTD("tos.rtd","","NET_CHANGE","/RTY:XCME")</f>
        <v>-1</v>
      </c>
      <c r="G5">
        <f>RTD("tos.rtd","","HIGH","/RTY:XCME")</f>
        <v>2495.1</v>
      </c>
      <c r="H5">
        <f>RTD("tos.rtd","","LOW","/RTY:XCME")</f>
        <v>2486.1</v>
      </c>
      <c r="I5">
        <f>RTD("tos.rtd","","VOLUME","/RTY:XCME")</f>
        <v>12913</v>
      </c>
      <c r="J5">
        <f>RTD("tos.rtd","","BID","/RTY:XCME")</f>
        <v>2491.9</v>
      </c>
      <c r="K5">
        <f>RTD("tos.rtd","","LAST","/RTY:XCME")</f>
        <v>2491.8000000000002</v>
      </c>
      <c r="L5">
        <f>RTD("tos.rtd","","ASK","/RTY:XCME")</f>
        <v>2491.9</v>
      </c>
      <c r="M5">
        <f>RTD("tos.rtd","","BID_SIZE","/RTY:XCME")</f>
        <v>2</v>
      </c>
      <c r="N5">
        <f>RTD("tos.rtd","","ASK_SIZE","/RTY:XCME")</f>
        <v>3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58.65</v>
      </c>
      <c r="E6">
        <f>RTD("tos.rtd","","OPEN","/CL:XNYM")</f>
        <v>58.58</v>
      </c>
      <c r="F6">
        <f>RTD("tos.rtd","","NET_CHANGE","/CL:XNYM")</f>
        <v>0.47</v>
      </c>
      <c r="G6">
        <f>RTD("tos.rtd","","HIGH","/CL:XNYM")</f>
        <v>59.15</v>
      </c>
      <c r="H6">
        <f>RTD("tos.rtd","","LOW","/CL:XNYM")</f>
        <v>58.27</v>
      </c>
      <c r="I6">
        <f>RTD("tos.rtd","","VOLUME","/CL:XNYM")</f>
        <v>59003</v>
      </c>
      <c r="J6">
        <f>RTD("tos.rtd","","BID","/CL:XNYM")</f>
        <v>59.11</v>
      </c>
      <c r="K6">
        <f>RTD("tos.rtd","","LAST","/CL:XNYM")</f>
        <v>59.12</v>
      </c>
      <c r="L6">
        <f>RTD("tos.rtd","","ASK","/CL:XNYM")</f>
        <v>59.12</v>
      </c>
      <c r="M6">
        <f>RTD("tos.rtd","","BID_SIZE","/CL:XNYM")</f>
        <v>4</v>
      </c>
      <c r="N6">
        <f>RTD("tos.rtd","","ASK_SIZE","/CL:XNYM")</f>
        <v>6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53.606999999999999</v>
      </c>
      <c r="E7">
        <f>RTD("tos.rtd","","OPEN","/SI:XCEC")</f>
        <v>53.755000000000003</v>
      </c>
      <c r="F7">
        <f>RTD("tos.rtd","","NET_CHANGE","/SI:XCEC")</f>
        <v>0.24299999999999999</v>
      </c>
      <c r="G7">
        <f>RTD("tos.rtd","","HIGH","/SI:XCEC")</f>
        <v>54.445</v>
      </c>
      <c r="H7">
        <f>RTD("tos.rtd","","LOW","/SI:XCEC")</f>
        <v>53.22</v>
      </c>
      <c r="I7">
        <f>RTD("tos.rtd","","VOLUME","/SI:XCEC")</f>
        <v>40271</v>
      </c>
      <c r="J7">
        <f>RTD("tos.rtd","","BID","/SI:XCEC")</f>
        <v>53.844999999999999</v>
      </c>
      <c r="K7">
        <f>RTD("tos.rtd","","LAST","/SI:XCEC")</f>
        <v>53.85</v>
      </c>
      <c r="L7">
        <f>RTD("tos.rtd","","ASK","/SI:XCEC")</f>
        <v>53.86</v>
      </c>
      <c r="M7">
        <f>RTD("tos.rtd","","BID_SIZE","/SI:XCEC")</f>
        <v>5</v>
      </c>
      <c r="N7">
        <f>RTD("tos.rtd","","ASK_SIZE","/SI:XCEC")</f>
        <v>3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5.194</v>
      </c>
      <c r="E8">
        <f>RTD("tos.rtd","","OPEN","/HG:XCEC")</f>
        <v>5.2060000000000004</v>
      </c>
      <c r="F8">
        <f>RTD("tos.rtd","","NET_CHANGE","/HG:XCEC")</f>
        <v>-3.0499999999999999E-2</v>
      </c>
      <c r="G8">
        <f>RTD("tos.rtd","","HIGH","/HG:XCEC")</f>
        <v>5.21</v>
      </c>
      <c r="H8">
        <f>RTD("tos.rtd","","LOW","/HG:XCEC")</f>
        <v>5.133</v>
      </c>
      <c r="I8">
        <f>RTD("tos.rtd","","VOLUME","/HG:XCEC")</f>
        <v>12136</v>
      </c>
      <c r="J8">
        <f>RTD("tos.rtd","","BID","/HG:XCEC")</f>
        <v>5.1624999999999996</v>
      </c>
      <c r="K8">
        <f>RTD("tos.rtd","","LAST","/HG:XCEC")</f>
        <v>5.1635</v>
      </c>
      <c r="L8">
        <f>RTD("tos.rtd","","ASK","/HG:XCEC")</f>
        <v>5.1639999999999997</v>
      </c>
      <c r="M8">
        <f>RTD("tos.rtd","","BID_SIZE","/HG:XCEC")</f>
        <v>2</v>
      </c>
      <c r="N8">
        <f>RTD("tos.rtd","","ASK_SIZE","/HG:XCEC")</f>
        <v>2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4202.3</v>
      </c>
      <c r="E9">
        <f>RTD("tos.rtd","","OPEN","/GC:XCEC")</f>
        <v>4198.6000000000004</v>
      </c>
      <c r="F9">
        <f>RTD("tos.rtd","","NET_CHANGE","/GC:XCEC")</f>
        <v>-13.3</v>
      </c>
      <c r="G9">
        <f>RTD("tos.rtd","","HIGH","/GC:XCEC")</f>
        <v>4200.8</v>
      </c>
      <c r="H9">
        <f>RTD("tos.rtd","","LOW","/GC:XCEC")</f>
        <v>4174.6000000000004</v>
      </c>
      <c r="I9">
        <f>RTD("tos.rtd","","VOLUME","/GC:XCEC")</f>
        <v>72760</v>
      </c>
      <c r="J9">
        <f>RTD("tos.rtd","","BID","/GC:XCEC")</f>
        <v>4188.5</v>
      </c>
      <c r="K9">
        <f>RTD("tos.rtd","","LAST","/GC:XCEC")</f>
        <v>4189</v>
      </c>
      <c r="L9">
        <f>RTD("tos.rtd","","ASK","/GC:XCEC")</f>
        <v>4189</v>
      </c>
      <c r="M9">
        <f>RTD("tos.rtd","","BID_SIZE","/GC:XCEC")</f>
        <v>4</v>
      </c>
      <c r="N9">
        <f>RTD("tos.rtd","","ASK_SIZE","/GC:XCEC")</f>
        <v>2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18.743099999999998</v>
      </c>
      <c r="E10">
        <f>RTD("tos.rtd","","OPEN","/VX:XCBF")</f>
        <v>18.75</v>
      </c>
      <c r="F10">
        <f>RTD("tos.rtd","","NET_CHANGE","/VX:XCBF")</f>
        <v>0.09</v>
      </c>
      <c r="G10">
        <f>RTD("tos.rtd","","HIGH","/VX:XCBF")</f>
        <v>18.850000000000001</v>
      </c>
      <c r="H10">
        <f>RTD("tos.rtd","","LOW","/VX:XCBF")</f>
        <v>18.649999999999999</v>
      </c>
      <c r="I10">
        <f>RTD("tos.rtd","","VOLUME","/VX:XCBF")</f>
        <v>4890</v>
      </c>
      <c r="J10">
        <f>RTD("tos.rtd","","BID","/VX:XCBF")</f>
        <v>18.100000000000001</v>
      </c>
      <c r="K10">
        <f>RTD("tos.rtd","","LAST","/VX:XCBF")</f>
        <v>18.8</v>
      </c>
      <c r="L10">
        <f>RTD("tos.rtd","","ASK","/VX:XCBF")</f>
        <v>19.399999999999999</v>
      </c>
      <c r="M10" t="str">
        <f>RTD("tos.rtd","","BID_SIZE","/VX:XCBF")</f>
        <v>N/A</v>
      </c>
      <c r="N10" t="str">
        <f>RTD("tos.rtd","","ASK_SIZE","/VX:XCBF")</f>
        <v>N/A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99.594999999999999</v>
      </c>
      <c r="E11">
        <f>RTD("tos.rtd","","OPEN","$DXY")</f>
        <v>99.503</v>
      </c>
      <c r="F11">
        <f>RTD("tos.rtd","","NET_CHANGE","$DXY")</f>
        <v>-1.9E-2</v>
      </c>
      <c r="G11">
        <f>RTD("tos.rtd","","HIGH","$DXY")</f>
        <v>99.709000000000003</v>
      </c>
      <c r="H11">
        <f>RTD("tos.rtd","","LOW","$DXY")</f>
        <v>99.406000000000006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99.575999999999993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117'27</v>
      </c>
      <c r="E12" t="str">
        <f>RTD("tos.rtd","","OPEN","/ZB:XCBT")</f>
        <v>117'27</v>
      </c>
      <c r="F12" t="str">
        <f>RTD("tos.rtd","","NET_CHANGE","/ZB:XCBT")</f>
        <v>-0'02</v>
      </c>
      <c r="G12" t="str">
        <f>RTD("tos.rtd","","HIGH","/ZB:XCBT")</f>
        <v>117'29</v>
      </c>
      <c r="H12" t="str">
        <f>RTD("tos.rtd","","LOW","/ZB:XCBT")</f>
        <v>117'19</v>
      </c>
      <c r="I12">
        <f>RTD("tos.rtd","","VOLUME","/ZB:XCBT")</f>
        <v>43736</v>
      </c>
      <c r="J12" t="str">
        <f>RTD("tos.rtd","","BID","/ZB:XCBT")</f>
        <v>117'25</v>
      </c>
      <c r="K12" t="str">
        <f>RTD("tos.rtd","","LAST","/ZB:XCBT")</f>
        <v>117'25</v>
      </c>
      <c r="L12" t="str">
        <f>RTD("tos.rtd","","ASK","/ZB:XCBT")</f>
        <v>117'26</v>
      </c>
      <c r="M12">
        <f>RTD("tos.rtd","","BID_SIZE","/ZB:XCBT")</f>
        <v>204</v>
      </c>
      <c r="N12">
        <f>RTD("tos.rtd","","ASK_SIZE","/ZB:XCBT")</f>
        <v>88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1.21</v>
      </c>
      <c r="F18" s="10">
        <f>RTD("tos.rtd", , "NET_CHANGE", "CGC")</f>
        <v>0.02</v>
      </c>
      <c r="G18" s="10">
        <f>RTD("tos.rtd", , "BID", "CGC")</f>
        <v>1.18</v>
      </c>
      <c r="H18" s="10">
        <f>RTD("tos.rtd", , "BID_SIZE", "CGC")</f>
        <v>1400</v>
      </c>
      <c r="I18" s="10">
        <f>RTD("tos.rtd", , "ASK", "CGC")</f>
        <v>1.2</v>
      </c>
      <c r="J18" s="10">
        <f>RTD("tos.rtd", , "ASK_SIZE", "CGC")</f>
        <v>24000</v>
      </c>
      <c r="K18" s="10">
        <f>RTD("tos.rtd", , "VOLUME", "CGC")</f>
        <v>17639313</v>
      </c>
      <c r="L18" s="10">
        <f>RTD("tos.rtd", , "OPEN", "CGC")</f>
        <v>1.1850000000000001</v>
      </c>
      <c r="M18" s="10">
        <f>RTD("tos.rtd", , "HIGH", "CGC")</f>
        <v>1.24</v>
      </c>
      <c r="N18" s="10">
        <f>RTD("tos.rtd", , "LOW", "CGC")</f>
        <v>1.17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60</v>
      </c>
      <c r="F21" s="5" t="s">
        <v>53</v>
      </c>
      <c r="G21" s="5" t="s">
        <v>54</v>
      </c>
      <c r="H21" s="4" t="s">
        <v>55</v>
      </c>
      <c r="I21" s="4" t="s">
        <v>56</v>
      </c>
      <c r="J21" s="6" t="s">
        <v>57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59</v>
      </c>
      <c r="C22">
        <v>135</v>
      </c>
      <c r="D22">
        <v>3.72</v>
      </c>
      <c r="F22" s="11"/>
      <c r="G22">
        <v>3.72</v>
      </c>
      <c r="H22" s="11">
        <f>I22+(E18*C22)</f>
        <v>661.37</v>
      </c>
      <c r="I22">
        <v>498.02</v>
      </c>
      <c r="J22" s="11">
        <f>(-C22*D22)-(-C22*E18)</f>
        <v>-338.85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2.7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74A9-8685-4040-8DA5-3B5C1E53B8A0}">
  <sheetPr codeName="Sheet3"/>
  <dimension ref="A1"/>
  <sheetViews>
    <sheetView workbookViewId="0">
      <selection sqref="A1:XFD6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2.42578125" bestFit="1" customWidth="1"/>
    <col min="4" max="4" width="19.85546875" bestFit="1" customWidth="1"/>
    <col min="5" max="5" width="22.85546875" bestFit="1" customWidth="1"/>
    <col min="6" max="6" width="19.140625" bestFit="1" customWidth="1"/>
    <col min="7" max="7" width="22.140625" bestFit="1" customWidth="1"/>
    <col min="8" max="8" width="22.140625" customWidth="1"/>
    <col min="9" max="9" width="23.7109375" bestFit="1" customWidth="1"/>
    <col min="10" max="11" width="23.7109375" customWidth="1"/>
    <col min="12" max="12" width="13.5703125" bestFit="1" customWidth="1"/>
    <col min="13" max="13" width="13.28515625" bestFit="1" customWidth="1"/>
    <col min="14" max="14" width="12.85546875" bestFit="1" customWidth="1"/>
    <col min="15" max="15" width="12.140625" bestFit="1" customWidth="1"/>
    <col min="16" max="16" width="14.140625" bestFit="1" customWidth="1"/>
    <col min="17" max="17" width="12.28515625" bestFit="1" customWidth="1"/>
    <col min="18" max="18" width="13.140625" bestFit="1" customWidth="1"/>
    <col min="19" max="19" width="14.2851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A7" sqref="A7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s="13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  <row r="16" spans="1:1" x14ac:dyDescent="0.25">
      <c r="A16" t="s">
        <v>76</v>
      </c>
    </row>
    <row r="17" spans="1:1" x14ac:dyDescent="0.25">
      <c r="A17" t="s">
        <v>77</v>
      </c>
    </row>
    <row r="18" spans="1:1" x14ac:dyDescent="0.25">
      <c r="A18" t="s">
        <v>78</v>
      </c>
    </row>
    <row r="19" spans="1:1" x14ac:dyDescent="0.25">
      <c r="A19" t="s">
        <v>79</v>
      </c>
    </row>
    <row r="20" spans="1:1" x14ac:dyDescent="0.25">
      <c r="A20" t="s">
        <v>80</v>
      </c>
    </row>
    <row r="21" spans="1:1" x14ac:dyDescent="0.25">
      <c r="A21" t="s">
        <v>81</v>
      </c>
    </row>
    <row r="22" spans="1:1" x14ac:dyDescent="0.25">
      <c r="A22" t="s">
        <v>82</v>
      </c>
    </row>
    <row r="23" spans="1:1" x14ac:dyDescent="0.25">
      <c r="A23" t="s">
        <v>83</v>
      </c>
    </row>
    <row r="24" spans="1:1" x14ac:dyDescent="0.25">
      <c r="A24" t="s">
        <v>84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87</v>
      </c>
    </row>
    <row r="28" spans="1:1" x14ac:dyDescent="0.25">
      <c r="A28" t="s">
        <v>88</v>
      </c>
    </row>
    <row r="29" spans="1:1" x14ac:dyDescent="0.25">
      <c r="A29" t="s">
        <v>89</v>
      </c>
    </row>
    <row r="30" spans="1:1" x14ac:dyDescent="0.25">
      <c r="A30" t="s">
        <v>90</v>
      </c>
    </row>
    <row r="31" spans="1:1" x14ac:dyDescent="0.25">
      <c r="A31" t="s">
        <v>91</v>
      </c>
    </row>
    <row r="32" spans="1:1" x14ac:dyDescent="0.25">
      <c r="A32" t="s">
        <v>92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95</v>
      </c>
    </row>
    <row r="36" spans="1:1" x14ac:dyDescent="0.25">
      <c r="A36" t="s">
        <v>96</v>
      </c>
    </row>
    <row r="37" spans="1:1" x14ac:dyDescent="0.25">
      <c r="A37" t="s">
        <v>97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100</v>
      </c>
    </row>
    <row r="41" spans="1:1" x14ac:dyDescent="0.25">
      <c r="A41" t="s">
        <v>101</v>
      </c>
    </row>
    <row r="42" spans="1:1" x14ac:dyDescent="0.25">
      <c r="A42" t="s">
        <v>102</v>
      </c>
    </row>
    <row r="43" spans="1:1" x14ac:dyDescent="0.25">
      <c r="A43" t="s">
        <v>103</v>
      </c>
    </row>
    <row r="44" spans="1:1" x14ac:dyDescent="0.25">
      <c r="A44" t="s">
        <v>104</v>
      </c>
    </row>
    <row r="45" spans="1:1" x14ac:dyDescent="0.25">
      <c r="A45" t="s">
        <v>105</v>
      </c>
    </row>
    <row r="46" spans="1:1" x14ac:dyDescent="0.25">
      <c r="A46" t="s">
        <v>106</v>
      </c>
    </row>
    <row r="47" spans="1:1" x14ac:dyDescent="0.25">
      <c r="A47" t="s">
        <v>107</v>
      </c>
    </row>
    <row r="48" spans="1:1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390A1-1400-4DC0-B29B-2E63AF10A32E}">
  <sheetPr codeName="Sheet1"/>
  <dimension ref="A2:AB8"/>
  <sheetViews>
    <sheetView workbookViewId="0">
      <selection activeCell="J17" sqref="J17"/>
    </sheetView>
  </sheetViews>
  <sheetFormatPr defaultRowHeight="15" x14ac:dyDescent="0.25"/>
  <cols>
    <col min="2" max="2" width="10.42578125" bestFit="1" customWidth="1"/>
    <col min="3" max="3" width="22.28515625" bestFit="1" customWidth="1"/>
    <col min="4" max="4" width="15.28515625" bestFit="1" customWidth="1"/>
    <col min="5" max="5" width="8.7109375" bestFit="1" customWidth="1"/>
  </cols>
  <sheetData>
    <row r="2" spans="1:28" x14ac:dyDescent="0.25">
      <c r="B2" s="3" t="s">
        <v>40</v>
      </c>
    </row>
    <row r="3" spans="1:28" x14ac:dyDescent="0.25">
      <c r="B3" s="9" t="s">
        <v>1</v>
      </c>
      <c r="C3" s="9" t="s">
        <v>2</v>
      </c>
      <c r="D3" s="9" t="s">
        <v>41</v>
      </c>
      <c r="E3" s="9" t="s">
        <v>8</v>
      </c>
      <c r="F3" s="9" t="s">
        <v>42</v>
      </c>
      <c r="G3" s="9" t="s">
        <v>7</v>
      </c>
      <c r="H3" s="9" t="s">
        <v>43</v>
      </c>
      <c r="I3" s="9" t="s">
        <v>9</v>
      </c>
      <c r="J3" s="9" t="s">
        <v>44</v>
      </c>
      <c r="K3" s="9" t="s">
        <v>6</v>
      </c>
      <c r="L3" s="9" t="s">
        <v>4</v>
      </c>
      <c r="M3" s="9" t="s">
        <v>45</v>
      </c>
      <c r="N3" s="9" t="s">
        <v>46</v>
      </c>
      <c r="O3" s="9" t="s">
        <v>47</v>
      </c>
      <c r="P3" s="9" t="s">
        <v>48</v>
      </c>
    </row>
    <row r="4" spans="1:28" s="10" customFormat="1" x14ac:dyDescent="0.25">
      <c r="B4" s="10" t="s">
        <v>39</v>
      </c>
      <c r="C4" s="10" t="str">
        <f>RTD("tos.rtd", , "DESCRIPTION", "CGC")</f>
        <v>CANOPY GROWTH CORP</v>
      </c>
      <c r="D4" s="10" t="str">
        <f>RTD("tos.rtd", , "QUOTE_TREND", "CGC")</f>
        <v>instrument=CGC</v>
      </c>
      <c r="E4" s="10">
        <f>RTD("tos.rtd", , "LAST", "CGC")</f>
        <v>1.21</v>
      </c>
      <c r="F4" s="10">
        <f>RTD("tos.rtd", , "NET_CHANGE", "CGC")</f>
        <v>0.02</v>
      </c>
      <c r="G4" s="10">
        <f>RTD("tos.rtd", , "BID", "CGC")</f>
        <v>1.18</v>
      </c>
      <c r="H4" s="10">
        <f>RTD("tos.rtd", , "BID_SIZE", "CGC")</f>
        <v>1400</v>
      </c>
      <c r="I4" s="10">
        <f>RTD("tos.rtd", , "ASK", "CGC")</f>
        <v>1.2</v>
      </c>
      <c r="J4" s="10">
        <f>RTD("tos.rtd", , "ASK_SIZE", "CGC")</f>
        <v>24000</v>
      </c>
      <c r="K4" s="10">
        <f>RTD("tos.rtd", , "VOLUME", "CGC")</f>
        <v>17639313</v>
      </c>
      <c r="L4" s="10">
        <f>RTD("tos.rtd", , "OPEN", "CGC")</f>
        <v>1.1850000000000001</v>
      </c>
      <c r="M4" s="10">
        <f>RTD("tos.rtd", , "HIGH", "CGC")</f>
        <v>1.24</v>
      </c>
      <c r="N4" s="10">
        <f>RTD("tos.rtd", , "LOW", "CGC")</f>
        <v>1.17</v>
      </c>
      <c r="O4" s="10">
        <v>4.2472000000000003</v>
      </c>
      <c r="P4" s="10">
        <v>0.77</v>
      </c>
    </row>
    <row r="5" spans="1:28" x14ac:dyDescent="0.25">
      <c r="A5" s="3"/>
      <c r="B5" s="3"/>
    </row>
    <row r="6" spans="1:28" ht="15.75" thickBot="1" x14ac:dyDescent="0.3"/>
    <row r="7" spans="1:28" ht="39.75" thickBot="1" x14ac:dyDescent="0.3">
      <c r="B7" s="4" t="s">
        <v>49</v>
      </c>
      <c r="C7" s="4" t="s">
        <v>50</v>
      </c>
      <c r="D7" s="4" t="s">
        <v>51</v>
      </c>
      <c r="E7" s="5" t="s">
        <v>52</v>
      </c>
      <c r="F7" s="5" t="s">
        <v>53</v>
      </c>
      <c r="G7" s="5" t="s">
        <v>54</v>
      </c>
      <c r="H7" s="4" t="s">
        <v>55</v>
      </c>
      <c r="I7" s="4" t="s">
        <v>56</v>
      </c>
      <c r="J7" s="6" t="s">
        <v>57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x14ac:dyDescent="0.25">
      <c r="B8" s="7">
        <v>45974</v>
      </c>
      <c r="C8" t="s">
        <v>58</v>
      </c>
      <c r="D8">
        <v>325</v>
      </c>
      <c r="E8">
        <v>1.0931</v>
      </c>
      <c r="F8">
        <v>355.25749999999999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LiveData</vt:lpstr>
      <vt:lpstr>LiveRTDvba</vt:lpstr>
      <vt:lpstr>helper fields</vt:lpstr>
      <vt:lpstr>to even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2025-11-27T18:25:43Z</dcterms:modified>
</cp:coreProperties>
</file>