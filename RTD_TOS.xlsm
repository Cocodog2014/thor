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77A9F132-09A2-428D-8BB0-02FD0D8540D2}" xr6:coauthVersionLast="47" xr6:coauthVersionMax="47" xr10:uidLastSave="{00000000-0000-0000-0000-000000000000}"/>
  <bookViews>
    <workbookView xWindow="1440" yWindow="3045" windowWidth="26355" windowHeight="11295" xr2:uid="{BCFCB08C-94E0-4947-AA4E-BEF6C0770B8D}"/>
  </bookViews>
  <sheets>
    <sheet name="LiveData" sheetId="2" r:id="rId1"/>
    <sheet name="helper field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2" l="1"/>
  <c r="D23" i="2"/>
  <c r="I23" i="2" s="1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<sst xmlns="http://schemas.openxmlformats.org/spreadsheetml/2006/main" count="200" uniqueCount="184">
  <si>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</si>
  <si>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</si>
  <si>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</si>
  <si>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</si>
  <si>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</si>
  <si>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</si>
  <si>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</si>
  <si>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</si>
  <si>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</si>
  <si>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</si>
  <si>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</si>
  <si>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</si>
  <si>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</si>
  <si>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</si>
  <si>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</si>
  <si>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</si>
  <si>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</si>
  <si>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</si>
  <si>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</si>
  <si>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</si>
  <si>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</si>
  <si>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</si>
  <si>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</si>
  <si>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</si>
  <si>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</si>
  <si>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</si>
  <si>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</si>
  <si>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</si>
  <si>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</si>
  <si>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</si>
  <si>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</si>
  <si>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</si>
  <si>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</si>
  <si>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</si>
  <si>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</si>
  <si>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</si>
  <si>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</si>
  <si>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</si>
  <si>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</si>
  <si>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</si>
  <si>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</si>
  <si>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</si>
  <si>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</si>
  <si>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</si>
  <si>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</si>
  <si>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</si>
  <si>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</si>
  <si>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</si>
  <si>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</si>
  <si>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</si>
  <si>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</si>
  <si>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</si>
  <si>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Purchased Shares</t>
  </si>
  <si>
    <t>Purchased $</t>
  </si>
  <si>
    <t>Net Liquidation</t>
  </si>
  <si>
    <t>Avalable Funds</t>
  </si>
  <si>
    <t>P/L Opening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</si>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</sst>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3</v>
        <stp/>
        <stp>ASK_SIZE</stp>
        <stp>/RTY:XCME</stp>
        <tr r="N5" s="2"/>
      </tp>
      <tp>
        <v>3</v>
        <stp/>
        <stp>BID_SIZE</stp>
        <stp>/RTY:XCME</stp>
        <tr r="M5" s="2"/>
      </tp>
      <tp t="s">
        <v>N/A</v>
        <stp/>
        <stp>VOLUME</stp>
        <stp>/GC:XCEC</stp>
        <tr r="I9" s="2"/>
      </tp>
      <tp>
        <v>1.19</v>
        <stp/>
        <stp>OPEN</stp>
        <stp>CGC</stp>
        <tr r="L18" s="2"/>
      </tp>
      <tp t="s">
        <v>N/A</v>
        <stp/>
        <stp>VOLUME</stp>
        <stp>/ES:XCME</stp>
        <tr r="I3" s="2"/>
      </tp>
      <tp t="s">
        <v>CANOPY GROWTH CORP</v>
        <stp/>
        <stp>DESCRIPTION</stp>
        <stp>CGC</stp>
        <tr r="C18" s="2"/>
      </tp>
      <tp t="s">
        <v>instrument=CGC</v>
        <stp/>
        <stp>QUOTE_TREND</stp>
        <stp>CGC</stp>
        <tr r="D18" s="2"/>
      </tp>
      <tp>
        <v>2505.1</v>
        <stp/>
        <stp>CLOSE</stp>
        <stp>/RTY:XCME</stp>
        <tr r="D5" s="2"/>
      </tp>
      <tp t="s">
        <v>N/A</v>
        <stp/>
        <stp>VOLUME</stp>
        <stp>/RTY:XCME</stp>
        <tr r="I5" s="2"/>
      </tp>
      <tp t="s">
        <v>N/A</v>
        <stp/>
        <stp>VOLUME</stp>
        <stp>/HG:XCEC</stp>
        <tr r="I8" s="2"/>
      </tp>
      <tp t="s">
        <v>N/A</v>
        <stp/>
        <stp>VOLUME</stp>
        <stp>/NQ:XCME</stp>
        <tr r="I4" s="2"/>
      </tp>
      <tp t="s">
        <v>N/A</v>
        <stp/>
        <stp>VOLUME</stp>
        <stp>/CL:XNYM</stp>
        <tr r="I6" s="2"/>
      </tp>
      <tp t="s">
        <v>N/A</v>
        <stp/>
        <stp>VOLUME</stp>
        <stp>/SI:XCEC</stp>
        <tr r="I7" s="2"/>
      </tp>
      <tp>
        <v>1.1599999999999999</v>
        <stp/>
        <stp>LOW</stp>
        <stp>CGC</stp>
        <tr r="N18" s="2"/>
      </tp>
      <tp>
        <v>99.531999999999996</v>
        <stp/>
        <stp>CLOSE</stp>
        <stp>$DXY</stp>
        <tr r="D11" s="2"/>
      </tp>
      <tp t="s">
        <v>N/A</v>
        <stp/>
        <stp>VOLUME</stp>
        <stp>/VX:XCBF</stp>
        <tr r="I10" s="2"/>
      </tp>
      <tp>
        <v>-5.2999999999999999E-2</v>
        <stp/>
        <stp>NET_CHANGE</stp>
        <stp>$DXY</stp>
        <tr r="F11" s="2"/>
      </tp>
      <tp>
        <v>1.17</v>
        <stp/>
        <stp>LAST</stp>
        <stp>CGC</stp>
        <tr r="E18" s="2"/>
      </tp>
      <tp>
        <v>7943983</v>
        <stp/>
        <stp>VOLUME</stp>
        <stp>CGC</stp>
        <tr r="K18" s="2"/>
      </tp>
      <tp>
        <v>1.17</v>
        <stp/>
        <stp>ASK</stp>
        <stp>CGC</stp>
        <tr r="I18" s="2"/>
      </tp>
      <tp t="s">
        <v>N/A</v>
        <stp/>
        <stp>VOLUME</stp>
        <stp>/ZB:XCBT</stp>
        <tr r="I12" s="2"/>
      </tp>
      <tp t="s">
        <v>N/A</v>
        <stp/>
        <stp>VOLUME</stp>
        <stp>/YM:XCBT</stp>
        <tr r="I2" s="2"/>
      </tp>
      <tp>
        <v>1.1599999999999999</v>
        <stp/>
        <stp>BID</stp>
        <stp>CGC</stp>
        <tr r="G18" s="2"/>
      </tp>
      <tp t="s">
        <v>N/A</v>
        <stp/>
        <stp>BID</stp>
        <stp>$DXY</stp>
        <tr r="J11" s="2"/>
      </tp>
      <tp>
        <v>99.376000000000005</v>
        <stp/>
        <stp>LOW</stp>
        <stp>$DXY</stp>
        <tr r="H11" s="2"/>
      </tp>
      <tp>
        <v>1.2</v>
        <stp/>
        <stp>HIGH</stp>
        <stp>CGC</stp>
        <tr r="M18" s="2"/>
      </tp>
      <tp>
        <v>14</v>
        <stp/>
        <stp>ASK_SIZE</stp>
        <stp>/ZB:XCBT</stp>
        <tr r="N12" s="2"/>
      </tp>
      <tp>
        <v>520</v>
        <stp/>
        <stp>BID_SIZE</stp>
        <stp>/VX:XCBF</stp>
        <tr r="M10" s="2"/>
      </tp>
      <tp>
        <v>1</v>
        <stp/>
        <stp>ASK_SIZE</stp>
        <stp>/YM:XCBT</stp>
        <tr r="N2" s="2"/>
      </tp>
      <tp>
        <v>1</v>
        <stp/>
        <stp>BID_SIZE</stp>
        <stp>/SI:XCEC</stp>
        <tr r="M7" s="2"/>
      </tp>
      <tp>
        <v>99.567999999999998</v>
        <stp/>
        <stp>OPEN</stp>
        <stp>$DXY</stp>
        <tr r="E11" s="2"/>
      </tp>
      <tp>
        <v>1</v>
        <stp/>
        <stp>ASK_SIZE</stp>
        <stp>/SI:XCEC</stp>
        <tr r="N7" s="2"/>
      </tp>
      <tp>
        <v>99.816000000000003</v>
        <stp/>
        <stp>HIGH</stp>
        <stp>$DXY</stp>
        <tr r="G11" s="2"/>
      </tp>
      <tp>
        <v>202</v>
        <stp/>
        <stp>ASK_SIZE</stp>
        <stp>/VX:XCBF</stp>
        <tr r="N10" s="2"/>
      </tp>
      <tp>
        <v>1</v>
        <stp/>
        <stp>BID_SIZE</stp>
        <stp>/YM:XCBT</stp>
        <tr r="M2" s="2"/>
      </tp>
      <tp>
        <v>46</v>
        <stp/>
        <stp>BID_SIZE</stp>
        <stp>/ZB:XCBT</stp>
        <tr r="M12" s="2"/>
      </tp>
      <tp>
        <v>5</v>
        <stp/>
        <stp>BID_SIZE</stp>
        <stp>/ES:XCME</stp>
        <tr r="M3" s="2"/>
      </tp>
      <tp>
        <v>1</v>
        <stp/>
        <stp>BID_SIZE</stp>
        <stp>/GC:XCEC</stp>
        <tr r="M9" s="2"/>
      </tp>
      <tp>
        <v>1</v>
        <stp/>
        <stp>ASK_SIZE</stp>
        <stp>/HG:XCEC</stp>
        <tr r="N8" s="2"/>
      </tp>
      <tp>
        <v>1</v>
        <stp/>
        <stp>ASK_SIZE</stp>
        <stp>/CL:XNYM</stp>
        <tr r="N6" s="2"/>
      </tp>
      <tp>
        <v>3</v>
        <stp/>
        <stp>ASK_SIZE</stp>
        <stp>/NQ:XCME</stp>
        <tr r="N4" s="2"/>
      </tp>
      <tp>
        <v>2</v>
        <stp/>
        <stp>BID_SIZE</stp>
        <stp>/CL:XNYM</stp>
        <tr r="M6" s="2"/>
      </tp>
      <tp>
        <v>1</v>
        <stp/>
        <stp>BID_SIZE</stp>
        <stp>/NQ:XCME</stp>
        <tr r="M4" s="2"/>
      </tp>
      <tp>
        <v>1</v>
        <stp/>
        <stp>ASK_SIZE</stp>
        <stp>/GC:XCEC</stp>
        <tr r="N9" s="2"/>
      </tp>
      <tp>
        <v>10</v>
        <stp/>
        <stp>BID_SIZE</stp>
        <stp>/HG:XCEC</stp>
        <tr r="M8" s="2"/>
      </tp>
      <tp>
        <v>2</v>
        <stp/>
        <stp>ASK_SIZE</stp>
        <stp>/ES:XCME</stp>
        <tr r="N3" s="2"/>
      </tp>
      <tp>
        <v>99.478999999999999</v>
        <stp/>
        <stp>LAST</stp>
        <stp>$DXY</stp>
        <tr r="K11" s="2"/>
      </tp>
      <tp>
        <v>57.162999999999997</v>
        <stp/>
        <stp>CLOSE</stp>
        <stp>/SI:XCEC</stp>
        <tr r="D7" s="2"/>
      </tp>
      <tp>
        <v>4256.5</v>
        <stp/>
        <stp>ASK</stp>
        <stp>/GC:XCEC</stp>
        <tr r="L9" s="2"/>
      </tp>
      <tp>
        <v>0</v>
        <stp/>
        <stp>LAST</stp>
        <stp>/RTY:XCME</stp>
        <tr r="K5" s="2"/>
      </tp>
      <tp>
        <v>-7.8E-2</v>
        <stp/>
        <stp>NET_CHANGE</stp>
        <stp>/SI:XCEC</stp>
        <tr r="F7" s="2"/>
      </tp>
      <tp t="s">
        <v>0'00</v>
        <stp/>
        <stp>LOW</stp>
        <stp>/ZB:XCBT</stp>
        <tr r="H12" s="2"/>
      </tp>
      <tp>
        <v>0</v>
        <stp/>
        <stp>LOW</stp>
        <stp>/YM:XCBT</stp>
        <tr r="H2" s="2"/>
      </tp>
      <tp>
        <v>6857.75</v>
        <stp/>
        <stp>ASK</stp>
        <stp>/ES:XCME</stp>
        <tr r="L3" s="2"/>
      </tp>
      <tp t="s">
        <v>N/A</v>
        <stp/>
        <stp>VOLUME</stp>
        <stp>$DXY</stp>
        <tr r="I11" s="2"/>
      </tp>
      <tp>
        <v>0</v>
        <stp/>
        <stp>NET_CHANGE</stp>
        <stp>/VX:XCBF</stp>
        <tr r="F10" s="2"/>
      </tp>
      <tp>
        <v>47738</v>
        <stp/>
        <stp>BID</stp>
        <stp>/YM:XCBT</stp>
        <tr r="J2" s="2"/>
      </tp>
      <tp>
        <v>18.268699999999999</v>
        <stp/>
        <stp>CLOSE</stp>
        <stp>/VX:XCBF</stp>
        <tr r="D10" s="2"/>
      </tp>
      <tp t="s">
        <v>117'12</v>
        <stp/>
        <stp>BID</stp>
        <stp>/ZB:XCBT</stp>
        <tr r="J12" s="2"/>
      </tp>
      <tp>
        <v>0</v>
        <stp/>
        <stp>NET_CHANGE</stp>
        <stp>/RTY:XCME</stp>
        <tr r="F5" s="2"/>
      </tp>
      <tp t="s">
        <v>-0'01</v>
        <stp/>
        <stp>NET_CHANGE</stp>
        <stp>/ZB:XCBT</stp>
        <tr r="F12" s="2"/>
      </tp>
      <tp>
        <v>0</v>
        <stp/>
        <stp>LOW</stp>
        <stp>/SI:XCEC</stp>
        <tr r="H7" s="2"/>
      </tp>
      <tp t="s">
        <v>117'14</v>
        <stp/>
        <stp>CLOSE</stp>
        <stp>/ZB:XCBT</stp>
        <tr r="D12" s="2"/>
      </tp>
      <tp>
        <v>58.49</v>
        <stp/>
        <stp>ASK</stp>
        <stp>/CL:XNYM</stp>
        <tr r="L6" s="2"/>
      </tp>
      <tp>
        <v>25485</v>
        <stp/>
        <stp>ASK</stp>
        <stp>/NQ:XCME</stp>
        <tr r="L4" s="2"/>
      </tp>
      <tp>
        <v>47743</v>
        <stp/>
        <stp>CLOSE</stp>
        <stp>/YM:XCBT</stp>
        <tr r="D2" s="2"/>
      </tp>
      <tp>
        <v>-4</v>
        <stp/>
        <stp>NET_CHANGE</stp>
        <stp>/YM:XCBT</stp>
        <tr r="F2" s="2"/>
      </tp>
      <tp>
        <v>18.2</v>
        <stp/>
        <stp>BID</stp>
        <stp>/VX:XCBF</stp>
        <tr r="J10" s="2"/>
      </tp>
      <tp>
        <v>0</v>
        <stp/>
        <stp>LOW</stp>
        <stp>/VX:XCBF</stp>
        <tr r="H10" s="2"/>
      </tp>
      <tp>
        <v>56.97</v>
        <stp/>
        <stp>BID</stp>
        <stp>/SI:XCEC</stp>
        <tr r="J7" s="2"/>
      </tp>
      <tp>
        <v>2500</v>
        <stp/>
        <stp>ASK_SIZE</stp>
        <stp>CGC</stp>
        <tr r="J18" s="2"/>
      </tp>
      <tp>
        <v>5.28</v>
        <stp/>
        <stp>ASK</stp>
        <stp>/HG:XCEC</stp>
        <tr r="L8" s="2"/>
      </tp>
      <tp>
        <v>18.25</v>
        <stp/>
        <stp>ASK</stp>
        <stp>/VX:XCBF</stp>
        <tr r="L10" s="2"/>
      </tp>
      <tp>
        <v>25479.5</v>
        <stp/>
        <stp>BID</stp>
        <stp>/NQ:XCME</stp>
        <tr r="J4" s="2"/>
      </tp>
      <tp>
        <v>58.44</v>
        <stp/>
        <stp>BID</stp>
        <stp>/CL:XNYM</stp>
        <tr r="J6" s="2"/>
      </tp>
      <tp>
        <v>0</v>
        <stp/>
        <stp>LOW</stp>
        <stp>/HG:XCEC</stp>
        <tr r="H8" s="2"/>
      </tp>
      <tp>
        <v>4254.8999999999996</v>
        <stp/>
        <stp>CLOSE</stp>
        <stp>/GC:XCEC</stp>
        <tr r="D9" s="2"/>
      </tp>
      <tp>
        <v>57.244999999999997</v>
        <stp/>
        <stp>ASK</stp>
        <stp>/SI:XCEC</stp>
        <tr r="L7" s="2"/>
      </tp>
      <tp>
        <v>6000</v>
        <stp/>
        <stp>BID_SIZE</stp>
        <stp>CGC</stp>
        <tr r="H18" s="2"/>
      </tp>
      <tp>
        <v>1.5</v>
        <stp/>
        <stp>NET_CHANGE</stp>
        <stp>/GC:XCEC</stp>
        <tr r="F9" s="2"/>
      </tp>
      <tp>
        <v>0</v>
        <stp/>
        <stp>LOW</stp>
        <stp>/NQ:XCME</stp>
        <tr r="H4" s="2"/>
      </tp>
      <tp>
        <v>0</v>
        <stp/>
        <stp>LOW</stp>
        <stp>/CL:XNYM</stp>
        <tr r="H6" s="2"/>
      </tp>
      <tp>
        <v>5.2725</v>
        <stp/>
        <stp>BID</stp>
        <stp>/HG:XCEC</stp>
        <tr r="J8" s="2"/>
      </tp>
      <tp>
        <v>6859.5</v>
        <stp/>
        <stp>CLOSE</stp>
        <stp>/ES:XCME</stp>
        <tr r="D3" s="2"/>
      </tp>
      <tp>
        <v>-2.25</v>
        <stp/>
        <stp>NET_CHANGE</stp>
        <stp>/ES:XCME</stp>
        <tr r="F3" s="2"/>
      </tp>
      <tp>
        <v>6857.25</v>
        <stp/>
        <stp>BID</stp>
        <stp>/ES:XCME</stp>
        <tr r="J3" s="2"/>
      </tp>
      <tp>
        <v>6.0000000000000001E-3</v>
        <stp/>
        <stp>NET_CHANGE</stp>
        <stp>/HG:XCEC</stp>
        <tr r="F8" s="2"/>
      </tp>
      <tp>
        <v>4253.8999999999996</v>
        <stp/>
        <stp>BID</stp>
        <stp>/GC:XCEC</stp>
        <tr r="J9" s="2"/>
      </tp>
      <tp>
        <v>5.2720000000000002</v>
        <stp/>
        <stp>CLOSE</stp>
        <stp>/HG:XCEC</stp>
        <tr r="D8" s="2"/>
      </tp>
      <tp>
        <v>0</v>
        <stp/>
        <stp>OPEN</stp>
        <stp>/RTY:XCME</stp>
        <tr r="E5" s="2"/>
      </tp>
      <tp>
        <v>0</v>
        <stp/>
        <stp>NET_CHANGE</stp>
        <stp>/NQ:XCME</stp>
        <tr r="F4" s="2"/>
      </tp>
      <tp>
        <v>-7.0000000000000007E-2</v>
        <stp/>
        <stp>NET_CHANGE</stp>
        <stp>/CL:XNYM</stp>
        <tr r="F6" s="2"/>
      </tp>
      <tp>
        <v>0</v>
        <stp/>
        <stp>LOW</stp>
        <stp>/GC:XCEC</stp>
        <tr r="H9" s="2"/>
      </tp>
      <tp>
        <v>25482</v>
        <stp/>
        <stp>CLOSE</stp>
        <stp>/NQ:XCME</stp>
        <tr r="D4" s="2"/>
      </tp>
      <tp>
        <v>58.55</v>
        <stp/>
        <stp>CLOSE</stp>
        <stp>/CL:XNYM</stp>
        <tr r="D6" s="2"/>
      </tp>
      <tp>
        <v>0</v>
        <stp/>
        <stp>HIGH</stp>
        <stp>/RTY:XCME</stp>
        <tr r="G5" s="2"/>
      </tp>
      <tp t="s">
        <v>117'13</v>
        <stp/>
        <stp>ASK</stp>
        <stp>/ZB:XCBT</stp>
        <tr r="L12" s="2"/>
      </tp>
      <tp>
        <v>-0.04</v>
        <stp/>
        <stp>NET_CHANGE</stp>
        <stp>CGC</stp>
        <tr r="F18" s="2"/>
      </tp>
      <tp>
        <v>0</v>
        <stp/>
        <stp>LOW</stp>
        <stp>/ES:XCME</stp>
        <tr r="H3" s="2"/>
      </tp>
      <tp>
        <v>47746</v>
        <stp/>
        <stp>ASK</stp>
        <stp>/YM:XCBT</stp>
        <tr r="L2" s="2"/>
      </tp>
      <tp>
        <v>47739</v>
        <stp/>
        <stp>LAST</stp>
        <stp>/YM:XCBT</stp>
        <tr r="K2" s="2"/>
      </tp>
      <tp>
        <v>0</v>
        <stp/>
        <stp>OPEN</stp>
        <stp>/NQ:XCME</stp>
        <tr r="E4" s="2"/>
      </tp>
      <tp>
        <v>0</v>
        <stp/>
        <stp>OPEN</stp>
        <stp>/CL:XNYM</stp>
        <tr r="E6" s="2"/>
      </tp>
      <tp>
        <v>0</v>
        <stp/>
        <stp>HIGH</stp>
        <stp>/NQ:XCME</stp>
        <tr r="G4" s="2"/>
      </tp>
      <tp t="s">
        <v>117'13</v>
        <stp/>
        <stp>LAST</stp>
        <stp>/ZB:XCBT</stp>
        <tr r="K12" s="2"/>
      </tp>
      <tp>
        <v>0</v>
        <stp/>
        <stp>HIGH</stp>
        <stp>/CL:XNYM</stp>
        <tr r="G6" s="2"/>
      </tp>
      <tp>
        <v>0</v>
        <stp/>
        <stp>HIGH</stp>
        <stp>/HG:XCEC</stp>
        <tr r="G8" s="2"/>
      </tp>
      <tp>
        <v>0</v>
        <stp/>
        <stp>OPEN</stp>
        <stp>/HG:XCEC</stp>
        <tr r="E8" s="2"/>
      </tp>
      <tp>
        <v>0</v>
        <stp/>
        <stp>OPEN</stp>
        <stp>/GC:XCEC</stp>
        <tr r="E9" s="2"/>
      </tp>
      <tp>
        <v>0</v>
        <stp/>
        <stp>HIGH</stp>
        <stp>/ES:XCME</stp>
        <tr r="G3" s="2"/>
      </tp>
      <tp>
        <v>0</v>
        <stp/>
        <stp>LOW</stp>
        <stp>/RTY:XCME</stp>
        <tr r="H5" s="2"/>
      </tp>
      <tp>
        <v>0</v>
        <stp/>
        <stp>HIGH</stp>
        <stp>/GC:XCEC</stp>
        <tr r="G9" s="2"/>
      </tp>
      <tp>
        <v>0</v>
        <stp/>
        <stp>OPEN</stp>
        <stp>/ES:XCME</stp>
        <tr r="E3" s="2"/>
      </tp>
      <tp>
        <v>57.085000000000001</v>
        <stp/>
        <stp>LAST</stp>
        <stp>/SI:XCEC</stp>
        <tr r="K7" s="2"/>
      </tp>
      <tp>
        <v>18.2</v>
        <stp/>
        <stp>LAST</stp>
        <stp>/VX:XCBF</stp>
        <tr r="K10" s="2"/>
      </tp>
      <tp>
        <v>5.2779999999999996</v>
        <stp/>
        <stp>LAST</stp>
        <stp>/HG:XCEC</stp>
        <tr r="K8" s="2"/>
      </tp>
      <tp t="s">
        <v>N/A</v>
        <stp/>
        <stp>BID_SIZE</stp>
        <stp>$DXY</stp>
        <tr r="M11" s="2"/>
      </tp>
      <tp>
        <v>0</v>
        <stp/>
        <stp>HIGH</stp>
        <stp>/YM:XCBT</stp>
        <tr r="G2" s="2"/>
      </tp>
      <tp>
        <v>2501.1</v>
        <stp/>
        <stp>ASK</stp>
        <stp>/RTY:XCME</stp>
        <tr r="L5" s="2"/>
      </tp>
      <tp t="s">
        <v>0'00</v>
        <stp/>
        <stp>OPEN</stp>
        <stp>/ZB:XCBT</stp>
        <tr r="E12" s="2"/>
      </tp>
      <tp>
        <v>0</v>
        <stp/>
        <stp>OPEN</stp>
        <stp>/YM:XCBT</stp>
        <tr r="E2" s="2"/>
      </tp>
      <tp>
        <v>58.48</v>
        <stp/>
        <stp>LAST</stp>
        <stp>/CL:XNYM</stp>
        <tr r="K6" s="2"/>
      </tp>
      <tp>
        <v>0</v>
        <stp/>
        <stp>LAST</stp>
        <stp>/NQ:XCME</stp>
        <tr r="K4" s="2"/>
      </tp>
      <tp t="s">
        <v>0'00</v>
        <stp/>
        <stp>HIGH</stp>
        <stp>/ZB:XCBT</stp>
        <tr r="G12" s="2"/>
      </tp>
      <tp>
        <v>0</v>
        <stp/>
        <stp>OPEN</stp>
        <stp>/VX:XCBF</stp>
        <tr r="E10" s="2"/>
      </tp>
      <tp>
        <v>2500.6</v>
        <stp/>
        <stp>BID</stp>
        <stp>/RTY:XCME</stp>
        <tr r="J5" s="2"/>
      </tp>
      <tp>
        <v>0</v>
        <stp/>
        <stp>HIGH</stp>
        <stp>/VX:XCBF</stp>
        <tr r="G10" s="2"/>
      </tp>
      <tp>
        <v>0</v>
        <stp/>
        <stp>OPEN</stp>
        <stp>/SI:XCEC</stp>
        <tr r="E7" s="2"/>
      </tp>
      <tp>
        <v>6857.25</v>
        <stp/>
        <stp>LAST</stp>
        <stp>/ES:XCME</stp>
        <tr r="K3" s="2"/>
      </tp>
      <tp t="s">
        <v>N/A</v>
        <stp/>
        <stp>ASK_SIZE</stp>
        <stp>$DXY</stp>
        <tr r="N11" s="2"/>
      </tp>
      <tp>
        <v>0</v>
        <stp/>
        <stp>HIGH</stp>
        <stp>/SI:XCEC</stp>
        <tr r="G7" s="2"/>
      </tp>
      <tp>
        <v>4256.3999999999996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3" sqref="Q13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47743</v>
      </c>
      <c r="E2">
        <f>RTD("tos.rtd","","OPEN","/YM:XCBT")</f>
        <v>0</v>
      </c>
      <c r="F2">
        <f>RTD("tos.rtd","","NET_CHANGE","/YM:XCBT")</f>
        <v>-4</v>
      </c>
      <c r="G2">
        <f>RTD("tos.rtd","","HIGH","/YM:XCBT")</f>
        <v>0</v>
      </c>
      <c r="H2">
        <f>RTD("tos.rtd","","LOW","/YM:XCBT")</f>
        <v>0</v>
      </c>
      <c r="I2" t="str">
        <f>RTD("tos.rtd","","VOLUME","/YM:XCBT")</f>
        <v>N/A</v>
      </c>
      <c r="J2">
        <f>RTD("tos.rtd","","BID","/YM:XCBT")</f>
        <v>47738</v>
      </c>
      <c r="K2">
        <f>RTD("tos.rtd","","LAST","/YM:XCBT")</f>
        <v>47739</v>
      </c>
      <c r="L2">
        <f>RTD("tos.rtd","","ASK","/YM:XCBT")</f>
        <v>47746</v>
      </c>
      <c r="M2">
        <f>RTD("tos.rtd","","BID_SIZE","/YM:XCBT")</f>
        <v>1</v>
      </c>
      <c r="N2">
        <f>RTD("tos.rtd","","ASK_SIZE","/YM:XCBT")</f>
        <v>1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6859.5</v>
      </c>
      <c r="E3">
        <f>RTD("tos.rtd","","OPEN","/ES:XCME")</f>
        <v>0</v>
      </c>
      <c r="F3">
        <f>RTD("tos.rtd","","NET_CHANGE","/ES:XCME")</f>
        <v>-2.25</v>
      </c>
      <c r="G3">
        <f>RTD("tos.rtd","","HIGH","/ES:XCME")</f>
        <v>0</v>
      </c>
      <c r="H3">
        <f>RTD("tos.rtd","","LOW","/ES:XCME")</f>
        <v>0</v>
      </c>
      <c r="I3" t="str">
        <f>RTD("tos.rtd","","VOLUME","/ES:XCME")</f>
        <v>N/A</v>
      </c>
      <c r="J3">
        <f>RTD("tos.rtd","","BID","/ES:XCME")</f>
        <v>6857.25</v>
      </c>
      <c r="K3">
        <f>RTD("tos.rtd","","LAST","/ES:XCME")</f>
        <v>6857.25</v>
      </c>
      <c r="L3">
        <f>RTD("tos.rtd","","ASK","/ES:XCME")</f>
        <v>6857.75</v>
      </c>
      <c r="M3">
        <f>RTD("tos.rtd","","BID_SIZE","/ES:XCME")</f>
        <v>5</v>
      </c>
      <c r="N3">
        <f>RTD("tos.rtd","","ASK_SIZE","/ES:XCME")</f>
        <v>2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25482</v>
      </c>
      <c r="E4">
        <f>RTD("tos.rtd","","OPEN","/NQ:XCME")</f>
        <v>0</v>
      </c>
      <c r="F4">
        <f>RTD("tos.rtd","","NET_CHANGE","/NQ:XCME")</f>
        <v>0</v>
      </c>
      <c r="G4">
        <f>RTD("tos.rtd","","HIGH","/NQ:XCME")</f>
        <v>0</v>
      </c>
      <c r="H4">
        <f>RTD("tos.rtd","","LOW","/NQ:XCME")</f>
        <v>0</v>
      </c>
      <c r="I4" t="str">
        <f>RTD("tos.rtd","","VOLUME","/NQ:XCME")</f>
        <v>N/A</v>
      </c>
      <c r="J4">
        <f>RTD("tos.rtd","","BID","/NQ:XCME")</f>
        <v>25479.5</v>
      </c>
      <c r="K4">
        <f>RTD("tos.rtd","","LAST","/NQ:XCME")</f>
        <v>0</v>
      </c>
      <c r="L4">
        <f>RTD("tos.rtd","","ASK","/NQ:XCME")</f>
        <v>25485</v>
      </c>
      <c r="M4">
        <f>RTD("tos.rtd","","BID_SIZE","/NQ:XCME")</f>
        <v>1</v>
      </c>
      <c r="N4">
        <f>RTD("tos.rtd","","ASK_SIZE","/NQ:XCME")</f>
        <v>3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2505.1</v>
      </c>
      <c r="E5">
        <f>RTD("tos.rtd","","OPEN","/RTY:XCME")</f>
        <v>0</v>
      </c>
      <c r="F5">
        <f>RTD("tos.rtd","","NET_CHANGE","/RTY:XCME")</f>
        <v>0</v>
      </c>
      <c r="G5">
        <f>RTD("tos.rtd","","HIGH","/RTY:XCME")</f>
        <v>0</v>
      </c>
      <c r="H5">
        <f>RTD("tos.rtd","","LOW","/RTY:XCME")</f>
        <v>0</v>
      </c>
      <c r="I5" t="str">
        <f>RTD("tos.rtd","","VOLUME","/RTY:XCME")</f>
        <v>N/A</v>
      </c>
      <c r="J5">
        <f>RTD("tos.rtd","","BID","/RTY:XCME")</f>
        <v>2500.6</v>
      </c>
      <c r="K5">
        <f>RTD("tos.rtd","","LAST","/RTY:XCME")</f>
        <v>0</v>
      </c>
      <c r="L5">
        <f>RTD("tos.rtd","","ASK","/RTY:XCME")</f>
        <v>2501.1</v>
      </c>
      <c r="M5">
        <f>RTD("tos.rtd","","BID_SIZE","/RTY:XCME")</f>
        <v>3</v>
      </c>
      <c r="N5">
        <f>RTD("tos.rtd","","ASK_SIZE","/RTY:XCME")</f>
        <v>3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58.55</v>
      </c>
      <c r="E6">
        <f>RTD("tos.rtd","","OPEN","/CL:XNYM")</f>
        <v>0</v>
      </c>
      <c r="F6">
        <f>RTD("tos.rtd","","NET_CHANGE","/CL:XNYM")</f>
        <v>-7.0000000000000007E-2</v>
      </c>
      <c r="G6">
        <f>RTD("tos.rtd","","HIGH","/CL:XNYM")</f>
        <v>0</v>
      </c>
      <c r="H6">
        <f>RTD("tos.rtd","","LOW","/CL:XNYM")</f>
        <v>0</v>
      </c>
      <c r="I6" t="str">
        <f>RTD("tos.rtd","","VOLUME","/CL:XNYM")</f>
        <v>N/A</v>
      </c>
      <c r="J6">
        <f>RTD("tos.rtd","","BID","/CL:XNYM")</f>
        <v>58.44</v>
      </c>
      <c r="K6">
        <f>RTD("tos.rtd","","LAST","/CL:XNYM")</f>
        <v>58.48</v>
      </c>
      <c r="L6">
        <f>RTD("tos.rtd","","ASK","/CL:XNYM")</f>
        <v>58.49</v>
      </c>
      <c r="M6">
        <f>RTD("tos.rtd","","BID_SIZE","/CL:XNYM")</f>
        <v>2</v>
      </c>
      <c r="N6">
        <f>RTD("tos.rtd","","ASK_SIZE","/CL:XNYM")</f>
        <v>1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57.162999999999997</v>
      </c>
      <c r="E7">
        <f>RTD("tos.rtd","","OPEN","/SI:XCEC")</f>
        <v>0</v>
      </c>
      <c r="F7">
        <f>RTD("tos.rtd","","NET_CHANGE","/SI:XCEC")</f>
        <v>-7.8E-2</v>
      </c>
      <c r="G7">
        <f>RTD("tos.rtd","","HIGH","/SI:XCEC")</f>
        <v>0</v>
      </c>
      <c r="H7">
        <f>RTD("tos.rtd","","LOW","/SI:XCEC")</f>
        <v>0</v>
      </c>
      <c r="I7" t="str">
        <f>RTD("tos.rtd","","VOLUME","/SI:XCEC")</f>
        <v>N/A</v>
      </c>
      <c r="J7">
        <f>RTD("tos.rtd","","BID","/SI:XCEC")</f>
        <v>56.97</v>
      </c>
      <c r="K7">
        <f>RTD("tos.rtd","","LAST","/SI:XCEC")</f>
        <v>57.085000000000001</v>
      </c>
      <c r="L7">
        <f>RTD("tos.rtd","","ASK","/SI:XCEC")</f>
        <v>57.244999999999997</v>
      </c>
      <c r="M7">
        <f>RTD("tos.rtd","","BID_SIZE","/SI:XCEC")</f>
        <v>1</v>
      </c>
      <c r="N7">
        <f>RTD("tos.rtd","","ASK_SIZE","/SI:XCEC")</f>
        <v>1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5.2720000000000002</v>
      </c>
      <c r="E8">
        <f>RTD("tos.rtd","","OPEN","/HG:XCEC")</f>
        <v>0</v>
      </c>
      <c r="F8">
        <f>RTD("tos.rtd","","NET_CHANGE","/HG:XCEC")</f>
        <v>6.0000000000000001E-3</v>
      </c>
      <c r="G8">
        <f>RTD("tos.rtd","","HIGH","/HG:XCEC")</f>
        <v>0</v>
      </c>
      <c r="H8">
        <f>RTD("tos.rtd","","LOW","/HG:XCEC")</f>
        <v>0</v>
      </c>
      <c r="I8" t="str">
        <f>RTD("tos.rtd","","VOLUME","/HG:XCEC")</f>
        <v>N/A</v>
      </c>
      <c r="J8">
        <f>RTD("tos.rtd","","BID","/HG:XCEC")</f>
        <v>5.2725</v>
      </c>
      <c r="K8">
        <f>RTD("tos.rtd","","LAST","/HG:XCEC")</f>
        <v>5.2779999999999996</v>
      </c>
      <c r="L8">
        <f>RTD("tos.rtd","","ASK","/HG:XCEC")</f>
        <v>5.28</v>
      </c>
      <c r="M8">
        <f>RTD("tos.rtd","","BID_SIZE","/HG:XCEC")</f>
        <v>10</v>
      </c>
      <c r="N8">
        <f>RTD("tos.rtd","","ASK_SIZE","/HG:XCEC")</f>
        <v>1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4254.8999999999996</v>
      </c>
      <c r="E9">
        <f>RTD("tos.rtd","","OPEN","/GC:XCEC")</f>
        <v>0</v>
      </c>
      <c r="F9">
        <f>RTD("tos.rtd","","NET_CHANGE","/GC:XCEC")</f>
        <v>1.5</v>
      </c>
      <c r="G9">
        <f>RTD("tos.rtd","","HIGH","/GC:XCEC")</f>
        <v>0</v>
      </c>
      <c r="H9">
        <f>RTD("tos.rtd","","LOW","/GC:XCEC")</f>
        <v>0</v>
      </c>
      <c r="I9" t="str">
        <f>RTD("tos.rtd","","VOLUME","/GC:XCEC")</f>
        <v>N/A</v>
      </c>
      <c r="J9">
        <f>RTD("tos.rtd","","BID","/GC:XCEC")</f>
        <v>4253.8999999999996</v>
      </c>
      <c r="K9">
        <f>RTD("tos.rtd","","LAST","/GC:XCEC")</f>
        <v>4256.3999999999996</v>
      </c>
      <c r="L9">
        <f>RTD("tos.rtd","","ASK","/GC:XCEC")</f>
        <v>4256.5</v>
      </c>
      <c r="M9">
        <f>RTD("tos.rtd","","BID_SIZE","/GC:XCEC")</f>
        <v>1</v>
      </c>
      <c r="N9">
        <f>RTD("tos.rtd","","ASK_SIZE","/GC:XCEC")</f>
        <v>1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18.268699999999999</v>
      </c>
      <c r="E10">
        <f>RTD("tos.rtd","","OPEN","/VX:XCBF")</f>
        <v>0</v>
      </c>
      <c r="F10">
        <f>RTD("tos.rtd","","NET_CHANGE","/VX:XCBF")</f>
        <v>0</v>
      </c>
      <c r="G10">
        <f>RTD("tos.rtd","","HIGH","/VX:XCBF")</f>
        <v>0</v>
      </c>
      <c r="H10">
        <f>RTD("tos.rtd","","LOW","/VX:XCBF")</f>
        <v>0</v>
      </c>
      <c r="I10" t="str">
        <f>RTD("tos.rtd","","VOLUME","/VX:XCBF")</f>
        <v>N/A</v>
      </c>
      <c r="J10">
        <f>RTD("tos.rtd","","BID","/VX:XCBF")</f>
        <v>18.2</v>
      </c>
      <c r="K10">
        <f>RTD("tos.rtd","","LAST","/VX:XCBF")</f>
        <v>18.2</v>
      </c>
      <c r="L10">
        <f>RTD("tos.rtd","","ASK","/VX:XCBF")</f>
        <v>18.25</v>
      </c>
      <c r="M10">
        <f>RTD("tos.rtd","","BID_SIZE","/VX:XCBF")</f>
        <v>520</v>
      </c>
      <c r="N10">
        <f>RTD("tos.rtd","","ASK_SIZE","/VX:XCBF")</f>
        <v>202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99.531999999999996</v>
      </c>
      <c r="E11">
        <f>RTD("tos.rtd","","OPEN","$DXY")</f>
        <v>99.567999999999998</v>
      </c>
      <c r="F11">
        <f>RTD("tos.rtd","","NET_CHANGE","$DXY")</f>
        <v>-5.2999999999999999E-2</v>
      </c>
      <c r="G11">
        <f>RTD("tos.rtd","","HIGH","$DXY")</f>
        <v>99.816000000000003</v>
      </c>
      <c r="H11">
        <f>RTD("tos.rtd","","LOW","$DXY")</f>
        <v>99.376000000000005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99.478999999999999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117'14</v>
      </c>
      <c r="E12" t="str">
        <f>RTD("tos.rtd","","OPEN","/ZB:XCBT")</f>
        <v>0'00</v>
      </c>
      <c r="F12" t="str">
        <f>RTD("tos.rtd","","NET_CHANGE","/ZB:XCBT")</f>
        <v>-0'01</v>
      </c>
      <c r="G12" t="str">
        <f>RTD("tos.rtd","","HIGH","/ZB:XCBT")</f>
        <v>0'00</v>
      </c>
      <c r="H12" t="str">
        <f>RTD("tos.rtd","","LOW","/ZB:XCBT")</f>
        <v>0'00</v>
      </c>
      <c r="I12" t="str">
        <f>RTD("tos.rtd","","VOLUME","/ZB:XCBT")</f>
        <v>N/A</v>
      </c>
      <c r="J12" t="str">
        <f>RTD("tos.rtd","","BID","/ZB:XCBT")</f>
        <v>117'12</v>
      </c>
      <c r="K12" t="str">
        <f>RTD("tos.rtd","","LAST","/ZB:XCBT")</f>
        <v>117'13</v>
      </c>
      <c r="L12" t="str">
        <f>RTD("tos.rtd","","ASK","/ZB:XCBT")</f>
        <v>117'13</v>
      </c>
      <c r="M12">
        <f>RTD("tos.rtd","","BID_SIZE","/ZB:XCBT")</f>
        <v>46</v>
      </c>
      <c r="N12">
        <f>RTD("tos.rtd","","ASK_SIZE","/ZB:XCBT")</f>
        <v>14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1.17</v>
      </c>
      <c r="F18" s="10">
        <f>RTD("tos.rtd", , "NET_CHANGE", "CGC")</f>
        <v>-0.04</v>
      </c>
      <c r="G18" s="10">
        <f>RTD("tos.rtd", , "BID", "CGC")</f>
        <v>1.1599999999999999</v>
      </c>
      <c r="H18" s="10">
        <f>RTD("tos.rtd", , "BID_SIZE", "CGC")</f>
        <v>6000</v>
      </c>
      <c r="I18" s="10">
        <f>RTD("tos.rtd", , "ASK", "CGC")</f>
        <v>1.17</v>
      </c>
      <c r="J18" s="10">
        <f>RTD("tos.rtd", , "ASK_SIZE", "CGC")</f>
        <v>2500</v>
      </c>
      <c r="K18" s="10">
        <f>RTD("tos.rtd", , "VOLUME", "CGC")</f>
        <v>7943983</v>
      </c>
      <c r="L18" s="10">
        <f>RTD("tos.rtd", , "OPEN", "CGC")</f>
        <v>1.19</v>
      </c>
      <c r="M18" s="10">
        <f>RTD("tos.rtd", , "HIGH", "CGC")</f>
        <v>1.2</v>
      </c>
      <c r="N18" s="10">
        <f>RTD("tos.rtd", , "LOW", "CGC")</f>
        <v>1.1599999999999999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58</v>
      </c>
      <c r="F21" s="5" t="s">
        <v>52</v>
      </c>
      <c r="G21" s="5" t="s">
        <v>53</v>
      </c>
      <c r="H21" s="4" t="s">
        <v>54</v>
      </c>
      <c r="I21" s="4" t="s">
        <v>55</v>
      </c>
      <c r="J21" s="6" t="s">
        <v>56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57</v>
      </c>
      <c r="C22">
        <v>135</v>
      </c>
      <c r="D22">
        <v>3.72</v>
      </c>
      <c r="F22" s="11"/>
      <c r="G22">
        <v>3.72</v>
      </c>
      <c r="H22" s="11">
        <f>I22+(E18*C22)</f>
        <v>655.97</v>
      </c>
      <c r="I22">
        <v>498.02</v>
      </c>
      <c r="J22" s="11">
        <f>(-C22*D22)-(-C22*E18)</f>
        <v>-344.25000000000006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-5.4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O19" sqref="O19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61</v>
      </c>
    </row>
    <row r="4" spans="1:1" x14ac:dyDescent="0.25">
      <c r="A4" t="s">
        <v>62</v>
      </c>
    </row>
    <row r="5" spans="1:1" x14ac:dyDescent="0.25">
      <c r="A5" t="s">
        <v>63</v>
      </c>
    </row>
    <row r="6" spans="1:1" x14ac:dyDescent="0.25">
      <c r="A6" t="s">
        <v>64</v>
      </c>
    </row>
    <row r="7" spans="1:1" x14ac:dyDescent="0.25">
      <c r="A7" s="13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  <row r="15" spans="1:1" x14ac:dyDescent="0.25">
      <c r="A15" t="s">
        <v>73</v>
      </c>
    </row>
    <row r="16" spans="1:1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LiveData</vt:lpstr>
      <vt:lpstr>helper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2025-11-30T23:56:33Z</dcterms:modified>
</cp:coreProperties>
</file>